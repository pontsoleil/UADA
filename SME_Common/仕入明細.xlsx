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nobuy\GitHub\UADA\SME_Common\"/>
    </mc:Choice>
  </mc:AlternateContent>
  <xr:revisionPtr revIDLastSave="0" documentId="13_ncr:1_{2FCFC46A-396F-46FA-A865-298B31F65675}" xr6:coauthVersionLast="47" xr6:coauthVersionMax="47" xr10:uidLastSave="{00000000-0000-0000-0000-000000000000}"/>
  <bookViews>
    <workbookView xWindow="15" yWindow="15" windowWidth="20970" windowHeight="15000" activeTab="1" xr2:uid="{44A16238-386D-4362-953A-A4A7471AB4AF}"/>
  </bookViews>
  <sheets>
    <sheet name="JP-PINT" sheetId="2" r:id="rId1"/>
    <sheet name="仕入明細" sheetId="1" r:id="rId2"/>
  </sheets>
  <externalReferences>
    <externalReference r:id="rId3"/>
    <externalReference r:id="rId4"/>
  </externalReferences>
  <definedNames>
    <definedName name="_xlnm._FilterDatabase" localSheetId="0" hidden="1">'JP-PINT'!$A$1:$F$458</definedName>
    <definedName name="_xlnm._FilterDatabase" localSheetId="1" hidden="1">仕入明細!$C$1:$AA$580</definedName>
    <definedName name="aaa">#REF!</definedName>
    <definedName name="ACRound">#REF!</definedName>
    <definedName name="BBIE" localSheetId="1">#REF!</definedName>
    <definedName name="BBIE">#REF!</definedName>
    <definedName name="bbie2" localSheetId="1">#REF!</definedName>
    <definedName name="bbie2">#REF!</definedName>
    <definedName name="BuiltIn_AutoFilter___1" localSheetId="1">#REF!</definedName>
    <definedName name="BuiltIn_AutoFilter___1">#REF!</definedName>
    <definedName name="LineRounding">#REF!</definedName>
    <definedName name="_xlnm.Print_Area" localSheetId="0">'JP-PINT'!$A$1:$F$232</definedName>
    <definedName name="_xlnm.Print_Area" localSheetId="1">仕入明細!$C:$AA</definedName>
    <definedName name="_xlnm.Print_Titles" localSheetId="0">'JP-PINT'!$1:$1</definedName>
    <definedName name="_xlnm.Print_Titles" localSheetId="1">仕入明細!$1:$1</definedName>
    <definedName name="RoundTotal">#REF!</definedName>
    <definedName name="Tax">#REF!</definedName>
    <definedName name="TaxableAmRound">#REF!</definedName>
    <definedName name="TaxAmuRound">#REF!</definedName>
    <definedName name="TaxRate1">#REF!</definedName>
    <definedName name="TaxRate2">#REF!</definedName>
    <definedName name="TotalRounding">#REF!</definedName>
    <definedName name="ｘｘｘ" localSheetId="1">#REF!</definedName>
    <definedName name="ｘｘｘ">#REF!</definedName>
    <definedName name="あ" localSheetId="1">#REF!</definedName>
    <definedName name="あ">#REF!</definedName>
    <definedName name="ああ" localSheetId="1">#REF!</definedName>
    <definedName name="ああ">#REF!</definedName>
    <definedName name="あああ" localSheetId="1">#REF!</definedName>
    <definedName name="あああ">#REF!</definedName>
    <definedName name="改訂履歴" localSheetId="1">#REF!</definedName>
    <definedName name="改訂履歴">#REF!</definedName>
    <definedName name="支払通知" localSheetId="1">#REF!</definedName>
    <definedName name="支払通知">#REF!</definedName>
    <definedName name="支払通知３" localSheetId="1">#REF!</definedName>
    <definedName name="支払通知３">#REF!</definedName>
    <definedName name="請求１" localSheetId="1">#REF!</definedName>
    <definedName name="請求１">#REF!</definedName>
    <definedName name="単一請求" localSheetId="1">#REF!</definedName>
    <definedName name="単一請求">#REF!</definedName>
    <definedName name="表紙１" localSheetId="1">#REF!</definedName>
    <definedName name="表紙１">#REF!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3" i="1" l="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8" i="1"/>
  <c r="B479" i="1"/>
  <c r="B481" i="1"/>
  <c r="B483" i="1"/>
  <c r="B485"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19" i="1"/>
  <c r="B20" i="1"/>
  <c r="B21" i="1"/>
  <c r="B22" i="1"/>
  <c r="B23" i="1"/>
  <c r="B24" i="1"/>
  <c r="B25" i="1"/>
  <c r="B26" i="1"/>
  <c r="B27" i="1"/>
  <c r="B28" i="1"/>
  <c r="B29" i="1"/>
  <c r="B30" i="1"/>
  <c r="B31" i="1"/>
  <c r="B32" i="1"/>
  <c r="B33" i="1"/>
  <c r="B34" i="1"/>
  <c r="B35" i="1"/>
  <c r="B36" i="1"/>
  <c r="B37" i="1"/>
  <c r="B38" i="1"/>
  <c r="B39" i="1"/>
  <c r="B40" i="1"/>
  <c r="B41" i="1"/>
  <c r="B42" i="1"/>
  <c r="B3" i="1"/>
  <c r="B4" i="1"/>
  <c r="B5" i="1"/>
  <c r="B6" i="1"/>
  <c r="B7" i="1"/>
  <c r="B8" i="1"/>
  <c r="B9" i="1"/>
  <c r="B10" i="1"/>
  <c r="B11" i="1"/>
  <c r="B12" i="1"/>
  <c r="B13" i="1"/>
  <c r="B14" i="1"/>
  <c r="B15" i="1"/>
  <c r="B16" i="1"/>
  <c r="B17" i="1"/>
  <c r="B18" i="1"/>
  <c r="A2" i="1"/>
  <c r="Y2" i="1" l="1"/>
  <c r="Z2" i="1" s="1"/>
  <c r="C2"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6" i="1"/>
  <c r="C227" i="1"/>
  <c r="C228" i="1"/>
  <c r="C229" i="1"/>
  <c r="C230" i="1"/>
  <c r="C231" i="1"/>
  <c r="C232" i="1"/>
  <c r="C233" i="1"/>
  <c r="C234" i="1"/>
  <c r="C235" i="1"/>
  <c r="C236" i="1"/>
  <c r="C237" i="1"/>
  <c r="C238" i="1"/>
  <c r="C239" i="1"/>
  <c r="C240" i="1"/>
  <c r="C241" i="1"/>
  <c r="C242" i="1"/>
  <c r="C244" i="1"/>
  <c r="C245" i="1"/>
  <c r="C246" i="1"/>
  <c r="C247" i="1"/>
  <c r="C248" i="1"/>
  <c r="C249" i="1"/>
  <c r="C250" i="1"/>
  <c r="C251" i="1"/>
  <c r="C252" i="1"/>
  <c r="C253" i="1"/>
  <c r="C254" i="1"/>
  <c r="C255" i="1"/>
  <c r="C256"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1" i="1"/>
  <c r="C352" i="1"/>
  <c r="C353" i="1"/>
  <c r="C354" i="1"/>
  <c r="C355" i="1"/>
  <c r="C356" i="1"/>
  <c r="C357" i="1"/>
  <c r="C358" i="1"/>
  <c r="C359" i="1"/>
  <c r="C360"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569" i="1"/>
  <c r="C570" i="1"/>
  <c r="C571" i="1"/>
  <c r="C572"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4" i="1"/>
  <c r="C495" i="1"/>
  <c r="C496" i="1"/>
  <c r="C497" i="1"/>
  <c r="C498"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7" i="1"/>
  <c r="C528" i="1"/>
  <c r="C529" i="1"/>
  <c r="C530" i="1"/>
  <c r="C531" i="1"/>
  <c r="C532" i="1"/>
  <c r="C533" i="1"/>
  <c r="C534" i="1"/>
  <c r="C535" i="1"/>
  <c r="C536" i="1"/>
  <c r="C537" i="1"/>
  <c r="C538" i="1"/>
  <c r="C539" i="1"/>
  <c r="C540" i="1"/>
  <c r="C541" i="1"/>
  <c r="C542" i="1"/>
  <c r="C543" i="1"/>
  <c r="C544" i="1"/>
  <c r="C545" i="1"/>
  <c r="C546" i="1"/>
  <c r="C551" i="1"/>
  <c r="C552" i="1"/>
  <c r="C553" i="1"/>
  <c r="C554" i="1"/>
  <c r="C555" i="1"/>
  <c r="C556" i="1"/>
  <c r="C557" i="1"/>
  <c r="C562" i="1"/>
  <c r="C563" i="1"/>
  <c r="C564" i="1"/>
  <c r="C565" i="1"/>
  <c r="C566" i="1"/>
  <c r="C567" i="1"/>
  <c r="C568" i="1"/>
  <c r="C433" i="1"/>
  <c r="C434" i="1"/>
  <c r="C435" i="1"/>
  <c r="C436" i="1"/>
  <c r="C437" i="1"/>
  <c r="C438" i="1"/>
  <c r="C439" i="1"/>
  <c r="C440" i="1"/>
  <c r="C441" i="1"/>
  <c r="C445" i="1"/>
  <c r="C446" i="1"/>
  <c r="C442" i="1"/>
  <c r="C443" i="1"/>
  <c r="C444" i="1"/>
  <c r="C447" i="1"/>
  <c r="C448" i="1"/>
  <c r="M573" i="1"/>
  <c r="A22" i="1" l="1"/>
  <c r="A38" i="1"/>
  <c r="A54" i="1"/>
  <c r="A71" i="1"/>
  <c r="A87" i="1"/>
  <c r="A103" i="1"/>
  <c r="A119" i="1"/>
  <c r="A135" i="1"/>
  <c r="A151" i="1"/>
  <c r="A167" i="1"/>
  <c r="A183" i="1"/>
  <c r="A199" i="1"/>
  <c r="A215" i="1"/>
  <c r="A231" i="1"/>
  <c r="A247" i="1"/>
  <c r="A263" i="1"/>
  <c r="A279" i="1"/>
  <c r="A295" i="1"/>
  <c r="A311" i="1"/>
  <c r="A327" i="1"/>
  <c r="A343" i="1"/>
  <c r="A359" i="1"/>
  <c r="A375" i="1"/>
  <c r="A391" i="1"/>
  <c r="A407" i="1"/>
  <c r="A423" i="1"/>
  <c r="A439" i="1"/>
  <c r="A455" i="1"/>
  <c r="A471" i="1"/>
  <c r="A487" i="1"/>
  <c r="A503" i="1"/>
  <c r="A519" i="1"/>
  <c r="A567" i="1"/>
  <c r="A332" i="1"/>
  <c r="A20" i="1"/>
  <c r="A191" i="1"/>
  <c r="A271" i="1"/>
  <c r="A319" i="1"/>
  <c r="A447" i="1"/>
  <c r="A5" i="1"/>
  <c r="A23" i="1"/>
  <c r="A39" i="1"/>
  <c r="A55" i="1"/>
  <c r="A72" i="1"/>
  <c r="A88" i="1"/>
  <c r="A104" i="1"/>
  <c r="A120" i="1"/>
  <c r="A136" i="1"/>
  <c r="A152" i="1"/>
  <c r="A168" i="1"/>
  <c r="A184" i="1"/>
  <c r="A200" i="1"/>
  <c r="A216" i="1"/>
  <c r="A232" i="1"/>
  <c r="A248" i="1"/>
  <c r="A264" i="1"/>
  <c r="A280" i="1"/>
  <c r="A296" i="1"/>
  <c r="A312" i="1"/>
  <c r="A328" i="1"/>
  <c r="A344" i="1"/>
  <c r="A360" i="1"/>
  <c r="A376" i="1"/>
  <c r="A392" i="1"/>
  <c r="A408" i="1"/>
  <c r="A424" i="1"/>
  <c r="A440" i="1"/>
  <c r="A456" i="1"/>
  <c r="A472" i="1"/>
  <c r="A488" i="1"/>
  <c r="A504" i="1"/>
  <c r="A520" i="1"/>
  <c r="A552" i="1"/>
  <c r="A568" i="1"/>
  <c r="A14" i="1"/>
  <c r="A268" i="1"/>
  <c r="A380" i="1"/>
  <c r="A396" i="1"/>
  <c r="A428" i="1"/>
  <c r="A460" i="1"/>
  <c r="A508" i="1"/>
  <c r="A572" i="1"/>
  <c r="A18" i="1"/>
  <c r="A61" i="1"/>
  <c r="A141" i="1"/>
  <c r="A157" i="1"/>
  <c r="A189" i="1"/>
  <c r="A221" i="1"/>
  <c r="A301" i="1"/>
  <c r="A365" i="1"/>
  <c r="A542" i="1"/>
  <c r="A175" i="1"/>
  <c r="A223" i="1"/>
  <c r="A367" i="1"/>
  <c r="A399" i="1"/>
  <c r="A495" i="1"/>
  <c r="A24" i="1"/>
  <c r="A40" i="1"/>
  <c r="A56" i="1"/>
  <c r="A73" i="1"/>
  <c r="A89" i="1"/>
  <c r="A105" i="1"/>
  <c r="A121" i="1"/>
  <c r="A137" i="1"/>
  <c r="A153" i="1"/>
  <c r="A169" i="1"/>
  <c r="A185" i="1"/>
  <c r="A201" i="1"/>
  <c r="A217" i="1"/>
  <c r="A233" i="1"/>
  <c r="A249" i="1"/>
  <c r="A265" i="1"/>
  <c r="A281" i="1"/>
  <c r="A297" i="1"/>
  <c r="A313" i="1"/>
  <c r="A329" i="1"/>
  <c r="A345" i="1"/>
  <c r="A361" i="1"/>
  <c r="A377" i="1"/>
  <c r="A393" i="1"/>
  <c r="A409" i="1"/>
  <c r="A425" i="1"/>
  <c r="A441" i="1"/>
  <c r="A457" i="1"/>
  <c r="A473" i="1"/>
  <c r="A489" i="1"/>
  <c r="A505" i="1"/>
  <c r="A521" i="1"/>
  <c r="A537" i="1"/>
  <c r="A553" i="1"/>
  <c r="A569" i="1"/>
  <c r="A15" i="1"/>
  <c r="A220" i="1"/>
  <c r="A284" i="1"/>
  <c r="A348" i="1"/>
  <c r="A444" i="1"/>
  <c r="A476" i="1"/>
  <c r="A492" i="1"/>
  <c r="A540" i="1"/>
  <c r="A28" i="1"/>
  <c r="A93" i="1"/>
  <c r="A173" i="1"/>
  <c r="A317" i="1"/>
  <c r="A525" i="1"/>
  <c r="A3" i="1"/>
  <c r="A462" i="1"/>
  <c r="A463" i="1"/>
  <c r="A543" i="1"/>
  <c r="A25" i="1"/>
  <c r="A41" i="1"/>
  <c r="A57" i="1"/>
  <c r="A74" i="1"/>
  <c r="A90" i="1"/>
  <c r="A106" i="1"/>
  <c r="A122" i="1"/>
  <c r="A138" i="1"/>
  <c r="A154" i="1"/>
  <c r="A170" i="1"/>
  <c r="A186" i="1"/>
  <c r="A202" i="1"/>
  <c r="A218" i="1"/>
  <c r="A234" i="1"/>
  <c r="A250" i="1"/>
  <c r="A266" i="1"/>
  <c r="A282" i="1"/>
  <c r="A298" i="1"/>
  <c r="A314" i="1"/>
  <c r="A330" i="1"/>
  <c r="A346" i="1"/>
  <c r="A362" i="1"/>
  <c r="A378" i="1"/>
  <c r="A394" i="1"/>
  <c r="A410" i="1"/>
  <c r="A426" i="1"/>
  <c r="A442" i="1"/>
  <c r="A458" i="1"/>
  <c r="A474" i="1"/>
  <c r="A490" i="1"/>
  <c r="A506" i="1"/>
  <c r="A522" i="1"/>
  <c r="A538" i="1"/>
  <c r="A554" i="1"/>
  <c r="A570" i="1"/>
  <c r="A16" i="1"/>
  <c r="A523" i="1"/>
  <c r="A27" i="1"/>
  <c r="A59" i="1"/>
  <c r="A76" i="1"/>
  <c r="A108" i="1"/>
  <c r="A124" i="1"/>
  <c r="A156" i="1"/>
  <c r="A559" i="1"/>
  <c r="A26" i="1"/>
  <c r="A42" i="1"/>
  <c r="A58" i="1"/>
  <c r="A75" i="1"/>
  <c r="A91" i="1"/>
  <c r="A107" i="1"/>
  <c r="A123" i="1"/>
  <c r="A139" i="1"/>
  <c r="A155" i="1"/>
  <c r="A171" i="1"/>
  <c r="A187" i="1"/>
  <c r="A203" i="1"/>
  <c r="A219" i="1"/>
  <c r="A235" i="1"/>
  <c r="A251" i="1"/>
  <c r="A267" i="1"/>
  <c r="A283" i="1"/>
  <c r="A299" i="1"/>
  <c r="A315" i="1"/>
  <c r="A331" i="1"/>
  <c r="A347" i="1"/>
  <c r="A363" i="1"/>
  <c r="A379" i="1"/>
  <c r="A395" i="1"/>
  <c r="A411" i="1"/>
  <c r="A427" i="1"/>
  <c r="A443" i="1"/>
  <c r="A459" i="1"/>
  <c r="A475" i="1"/>
  <c r="A491" i="1"/>
  <c r="A507" i="1"/>
  <c r="A539" i="1"/>
  <c r="A555" i="1"/>
  <c r="A571" i="1"/>
  <c r="A17" i="1"/>
  <c r="A43" i="1"/>
  <c r="A92" i="1"/>
  <c r="A140" i="1"/>
  <c r="A172" i="1"/>
  <c r="A188" i="1"/>
  <c r="A204" i="1"/>
  <c r="A252" i="1"/>
  <c r="A316" i="1"/>
  <c r="A77" i="1"/>
  <c r="A125" i="1"/>
  <c r="A413" i="1"/>
  <c r="A19" i="1"/>
  <c r="A526" i="1"/>
  <c r="A29" i="1"/>
  <c r="A45" i="1"/>
  <c r="A62" i="1"/>
  <c r="A78" i="1"/>
  <c r="A94" i="1"/>
  <c r="A110" i="1"/>
  <c r="A126" i="1"/>
  <c r="A142" i="1"/>
  <c r="A158" i="1"/>
  <c r="A174" i="1"/>
  <c r="A190" i="1"/>
  <c r="A206" i="1"/>
  <c r="A222" i="1"/>
  <c r="A238" i="1"/>
  <c r="A254" i="1"/>
  <c r="A270" i="1"/>
  <c r="A286" i="1"/>
  <c r="A302" i="1"/>
  <c r="A318" i="1"/>
  <c r="A334" i="1"/>
  <c r="A350" i="1"/>
  <c r="A366" i="1"/>
  <c r="A382" i="1"/>
  <c r="A398" i="1"/>
  <c r="A414" i="1"/>
  <c r="A558" i="1"/>
  <c r="A303" i="1"/>
  <c r="A30" i="1"/>
  <c r="A46" i="1"/>
  <c r="A63" i="1"/>
  <c r="A79" i="1"/>
  <c r="A95" i="1"/>
  <c r="A111" i="1"/>
  <c r="A127" i="1"/>
  <c r="A143" i="1"/>
  <c r="A159" i="1"/>
  <c r="A351" i="1"/>
  <c r="A431" i="1"/>
  <c r="A31" i="1"/>
  <c r="A47" i="1"/>
  <c r="A64" i="1"/>
  <c r="A80" i="1"/>
  <c r="A96" i="1"/>
  <c r="A112" i="1"/>
  <c r="A128" i="1"/>
  <c r="A144" i="1"/>
  <c r="A160" i="1"/>
  <c r="A176" i="1"/>
  <c r="A192" i="1"/>
  <c r="A208" i="1"/>
  <c r="A224" i="1"/>
  <c r="A240" i="1"/>
  <c r="A256" i="1"/>
  <c r="A272" i="1"/>
  <c r="A288" i="1"/>
  <c r="A304" i="1"/>
  <c r="A320" i="1"/>
  <c r="A336" i="1"/>
  <c r="A352" i="1"/>
  <c r="A368" i="1"/>
  <c r="A384" i="1"/>
  <c r="A400" i="1"/>
  <c r="A416" i="1"/>
  <c r="A432" i="1"/>
  <c r="A448" i="1"/>
  <c r="A464" i="1"/>
  <c r="A496" i="1"/>
  <c r="A512" i="1"/>
  <c r="A528" i="1"/>
  <c r="A544" i="1"/>
  <c r="A560" i="1"/>
  <c r="A6" i="1"/>
  <c r="A465" i="1"/>
  <c r="A481" i="1"/>
  <c r="A497" i="1"/>
  <c r="A513" i="1"/>
  <c r="A529" i="1"/>
  <c r="A545" i="1"/>
  <c r="A561" i="1"/>
  <c r="A7" i="1"/>
  <c r="A402" i="1"/>
  <c r="A466" i="1"/>
  <c r="A498" i="1"/>
  <c r="A546" i="1"/>
  <c r="A562" i="1"/>
  <c r="A8" i="1"/>
  <c r="A483" i="1"/>
  <c r="A531" i="1"/>
  <c r="A563" i="1"/>
  <c r="A500" i="1"/>
  <c r="A516" i="1"/>
  <c r="A10" i="1"/>
  <c r="A181" i="1"/>
  <c r="A277" i="1"/>
  <c r="A357" i="1"/>
  <c r="A485" i="1"/>
  <c r="A285" i="1"/>
  <c r="A397" i="1"/>
  <c r="A429" i="1"/>
  <c r="A541" i="1"/>
  <c r="A494" i="1"/>
  <c r="A287" i="1"/>
  <c r="A415" i="1"/>
  <c r="A32" i="1"/>
  <c r="A48" i="1"/>
  <c r="A65" i="1"/>
  <c r="A81" i="1"/>
  <c r="A97" i="1"/>
  <c r="A113" i="1"/>
  <c r="A129" i="1"/>
  <c r="A145" i="1"/>
  <c r="A161" i="1"/>
  <c r="A177" i="1"/>
  <c r="A193" i="1"/>
  <c r="A209" i="1"/>
  <c r="A225" i="1"/>
  <c r="A241" i="1"/>
  <c r="A257" i="1"/>
  <c r="A273" i="1"/>
  <c r="A289" i="1"/>
  <c r="A305" i="1"/>
  <c r="A321" i="1"/>
  <c r="A337" i="1"/>
  <c r="A353" i="1"/>
  <c r="A369" i="1"/>
  <c r="A385" i="1"/>
  <c r="A401" i="1"/>
  <c r="A417" i="1"/>
  <c r="A433" i="1"/>
  <c r="A449" i="1"/>
  <c r="A434" i="1"/>
  <c r="A514" i="1"/>
  <c r="A530" i="1"/>
  <c r="A499" i="1"/>
  <c r="A532" i="1"/>
  <c r="A197" i="1"/>
  <c r="A245" i="1"/>
  <c r="A261" i="1"/>
  <c r="A325" i="1"/>
  <c r="A469" i="1"/>
  <c r="A517" i="1"/>
  <c r="A565" i="1"/>
  <c r="A11" i="1"/>
  <c r="A269" i="1"/>
  <c r="A445" i="1"/>
  <c r="A446" i="1"/>
  <c r="A4" i="1"/>
  <c r="A239" i="1"/>
  <c r="A383" i="1"/>
  <c r="A527" i="1"/>
  <c r="A33" i="1"/>
  <c r="A49" i="1"/>
  <c r="A66" i="1"/>
  <c r="A82" i="1"/>
  <c r="A98" i="1"/>
  <c r="A114" i="1"/>
  <c r="A130" i="1"/>
  <c r="A146" i="1"/>
  <c r="A162" i="1"/>
  <c r="A178" i="1"/>
  <c r="A194" i="1"/>
  <c r="A210" i="1"/>
  <c r="A226" i="1"/>
  <c r="A242" i="1"/>
  <c r="A258" i="1"/>
  <c r="A274" i="1"/>
  <c r="A290" i="1"/>
  <c r="A306" i="1"/>
  <c r="A322" i="1"/>
  <c r="A338" i="1"/>
  <c r="A354" i="1"/>
  <c r="A370" i="1"/>
  <c r="A386" i="1"/>
  <c r="A418" i="1"/>
  <c r="A450" i="1"/>
  <c r="A515" i="1"/>
  <c r="A547" i="1"/>
  <c r="A9" i="1"/>
  <c r="A564" i="1"/>
  <c r="A229" i="1"/>
  <c r="A293" i="1"/>
  <c r="A389" i="1"/>
  <c r="A405" i="1"/>
  <c r="A453" i="1"/>
  <c r="A533" i="1"/>
  <c r="A509" i="1"/>
  <c r="A510" i="1"/>
  <c r="A207" i="1"/>
  <c r="A479" i="1"/>
  <c r="A34" i="1"/>
  <c r="A50" i="1"/>
  <c r="A67" i="1"/>
  <c r="A83" i="1"/>
  <c r="A99" i="1"/>
  <c r="A115" i="1"/>
  <c r="A131" i="1"/>
  <c r="A147" i="1"/>
  <c r="A163" i="1"/>
  <c r="A179" i="1"/>
  <c r="A195" i="1"/>
  <c r="A211" i="1"/>
  <c r="A227" i="1"/>
  <c r="A243" i="1"/>
  <c r="A259" i="1"/>
  <c r="A275" i="1"/>
  <c r="A291" i="1"/>
  <c r="A307" i="1"/>
  <c r="A323" i="1"/>
  <c r="A339" i="1"/>
  <c r="A355" i="1"/>
  <c r="A371" i="1"/>
  <c r="A387" i="1"/>
  <c r="A403" i="1"/>
  <c r="A419" i="1"/>
  <c r="A435" i="1"/>
  <c r="A451" i="1"/>
  <c r="A467" i="1"/>
  <c r="A35" i="1"/>
  <c r="A51" i="1"/>
  <c r="A68" i="1"/>
  <c r="A84" i="1"/>
  <c r="A100" i="1"/>
  <c r="A116" i="1"/>
  <c r="A132" i="1"/>
  <c r="A148" i="1"/>
  <c r="A164" i="1"/>
  <c r="A180" i="1"/>
  <c r="A196" i="1"/>
  <c r="A212" i="1"/>
  <c r="A228" i="1"/>
  <c r="A244" i="1"/>
  <c r="A260" i="1"/>
  <c r="A276" i="1"/>
  <c r="A292" i="1"/>
  <c r="A308" i="1"/>
  <c r="A324" i="1"/>
  <c r="A340" i="1"/>
  <c r="A356" i="1"/>
  <c r="A372" i="1"/>
  <c r="A388" i="1"/>
  <c r="A404" i="1"/>
  <c r="A420" i="1"/>
  <c r="A436" i="1"/>
  <c r="A452" i="1"/>
  <c r="A468" i="1"/>
  <c r="A548" i="1"/>
  <c r="A165" i="1"/>
  <c r="A309" i="1"/>
  <c r="A373" i="1"/>
  <c r="A437" i="1"/>
  <c r="A333" i="1"/>
  <c r="A461" i="1"/>
  <c r="A21" i="1"/>
  <c r="A36" i="1"/>
  <c r="A52" i="1"/>
  <c r="A69" i="1"/>
  <c r="A85" i="1"/>
  <c r="A101" i="1"/>
  <c r="A117" i="1"/>
  <c r="A133" i="1"/>
  <c r="A149" i="1"/>
  <c r="A213" i="1"/>
  <c r="A341" i="1"/>
  <c r="A501" i="1"/>
  <c r="A549" i="1"/>
  <c r="A237" i="1"/>
  <c r="A349" i="1"/>
  <c r="A557" i="1"/>
  <c r="A430" i="1"/>
  <c r="A255" i="1"/>
  <c r="A511" i="1"/>
  <c r="A37" i="1"/>
  <c r="A53" i="1"/>
  <c r="A70" i="1"/>
  <c r="A86" i="1"/>
  <c r="A102" i="1"/>
  <c r="A118" i="1"/>
  <c r="A134" i="1"/>
  <c r="A150" i="1"/>
  <c r="A166" i="1"/>
  <c r="A182" i="1"/>
  <c r="A198" i="1"/>
  <c r="A214" i="1"/>
  <c r="A230" i="1"/>
  <c r="A246" i="1"/>
  <c r="A262" i="1"/>
  <c r="A278" i="1"/>
  <c r="A294" i="1"/>
  <c r="A310" i="1"/>
  <c r="A326" i="1"/>
  <c r="A342" i="1"/>
  <c r="A358" i="1"/>
  <c r="A374" i="1"/>
  <c r="A390" i="1"/>
  <c r="A406" i="1"/>
  <c r="A422" i="1"/>
  <c r="A438" i="1"/>
  <c r="A454" i="1"/>
  <c r="A470" i="1"/>
  <c r="A502" i="1"/>
  <c r="A518" i="1"/>
  <c r="A534" i="1"/>
  <c r="A550" i="1"/>
  <c r="A566" i="1"/>
  <c r="A12" i="1"/>
  <c r="A535" i="1"/>
  <c r="A551" i="1"/>
  <c r="A13" i="1"/>
  <c r="A536" i="1"/>
  <c r="A236" i="1"/>
  <c r="A300" i="1"/>
  <c r="A364" i="1"/>
  <c r="A412" i="1"/>
  <c r="A524" i="1"/>
  <c r="A556" i="1"/>
  <c r="A44" i="1"/>
  <c r="A109" i="1"/>
  <c r="A205" i="1"/>
  <c r="A253" i="1"/>
  <c r="A381" i="1"/>
  <c r="A493" i="1"/>
  <c r="A478" i="1"/>
  <c r="A335" i="1"/>
  <c r="Z517" i="1"/>
  <c r="Y23" i="1"/>
  <c r="Z23" i="1" s="1"/>
  <c r="Y39" i="1"/>
  <c r="Z39" i="1" s="1"/>
  <c r="Y55" i="1"/>
  <c r="Z55" i="1" s="1"/>
  <c r="Y71" i="1"/>
  <c r="Z71" i="1" s="1"/>
  <c r="Y87" i="1"/>
  <c r="Z87" i="1" s="1"/>
  <c r="Y103" i="1"/>
  <c r="Z103" i="1" s="1"/>
  <c r="Y119" i="1"/>
  <c r="Z119" i="1" s="1"/>
  <c r="Y135" i="1"/>
  <c r="Z135" i="1" s="1"/>
  <c r="Y151" i="1"/>
  <c r="Z151" i="1" s="1"/>
  <c r="Y167" i="1"/>
  <c r="Z167" i="1" s="1"/>
  <c r="Y183" i="1"/>
  <c r="Z183" i="1" s="1"/>
  <c r="Y199" i="1"/>
  <c r="Z199" i="1" s="1"/>
  <c r="Y215" i="1"/>
  <c r="Z215" i="1" s="1"/>
  <c r="Y231" i="1"/>
  <c r="Z231" i="1" s="1"/>
  <c r="Y247" i="1"/>
  <c r="Z247" i="1" s="1"/>
  <c r="Z263" i="1"/>
  <c r="Y279" i="1"/>
  <c r="Z279" i="1" s="1"/>
  <c r="Y295" i="1"/>
  <c r="Z295" i="1" s="1"/>
  <c r="Y311" i="1"/>
  <c r="Z311" i="1" s="1"/>
  <c r="Z327" i="1"/>
  <c r="Z343" i="1"/>
  <c r="Y359" i="1"/>
  <c r="Z359" i="1" s="1"/>
  <c r="Y375" i="1"/>
  <c r="Z375" i="1" s="1"/>
  <c r="Y391" i="1"/>
  <c r="Z391" i="1" s="1"/>
  <c r="Z407" i="1"/>
  <c r="Y423" i="1"/>
  <c r="Z423" i="1" s="1"/>
  <c r="Y439" i="1"/>
  <c r="Z439" i="1" s="1"/>
  <c r="Y455" i="1"/>
  <c r="Z455" i="1" s="1"/>
  <c r="Y471" i="1"/>
  <c r="Z471" i="1" s="1"/>
  <c r="Y487" i="1"/>
  <c r="Z487" i="1" s="1"/>
  <c r="Y503" i="1"/>
  <c r="Z503" i="1" s="1"/>
  <c r="Z520" i="1"/>
  <c r="Z536" i="1"/>
  <c r="Z552" i="1"/>
  <c r="Z568" i="1"/>
  <c r="Y14" i="1"/>
  <c r="Z14" i="1" s="1"/>
  <c r="Y25" i="1"/>
  <c r="Z25" i="1" s="1"/>
  <c r="Y41" i="1"/>
  <c r="Z41" i="1" s="1"/>
  <c r="Y57" i="1"/>
  <c r="Z57" i="1" s="1"/>
  <c r="Y73" i="1"/>
  <c r="Z73" i="1" s="1"/>
  <c r="Y89" i="1"/>
  <c r="Z89" i="1" s="1"/>
  <c r="Y105" i="1"/>
  <c r="Z105" i="1" s="1"/>
  <c r="Y121" i="1"/>
  <c r="Z121" i="1" s="1"/>
  <c r="Y137" i="1"/>
  <c r="Z137" i="1" s="1"/>
  <c r="Y153" i="1"/>
  <c r="Z153" i="1" s="1"/>
  <c r="Y169" i="1"/>
  <c r="Z169" i="1" s="1"/>
  <c r="Y185" i="1"/>
  <c r="Z185" i="1" s="1"/>
  <c r="Y201" i="1"/>
  <c r="Z201" i="1" s="1"/>
  <c r="Y217" i="1"/>
  <c r="Z217" i="1" s="1"/>
  <c r="Y233" i="1"/>
  <c r="Z233" i="1" s="1"/>
  <c r="Y249" i="1"/>
  <c r="Z249" i="1" s="1"/>
  <c r="Y27" i="1"/>
  <c r="Z27" i="1" s="1"/>
  <c r="Y43" i="1"/>
  <c r="Z43" i="1" s="1"/>
  <c r="Y59" i="1"/>
  <c r="Z59" i="1" s="1"/>
  <c r="Y75" i="1"/>
  <c r="Z75" i="1" s="1"/>
  <c r="Y91" i="1"/>
  <c r="Z91" i="1" s="1"/>
  <c r="Y107" i="1"/>
  <c r="Z107" i="1" s="1"/>
  <c r="Y123" i="1"/>
  <c r="Z123" i="1" s="1"/>
  <c r="Y139" i="1"/>
  <c r="Z139" i="1" s="1"/>
  <c r="Y155" i="1"/>
  <c r="Z155" i="1" s="1"/>
  <c r="Y171" i="1"/>
  <c r="Z171" i="1" s="1"/>
  <c r="Y187" i="1"/>
  <c r="Z187" i="1" s="1"/>
  <c r="Y203" i="1"/>
  <c r="Z203" i="1" s="1"/>
  <c r="Y219" i="1"/>
  <c r="Z219" i="1" s="1"/>
  <c r="Y235" i="1"/>
  <c r="Z235" i="1" s="1"/>
  <c r="Y251" i="1"/>
  <c r="Z251" i="1" s="1"/>
  <c r="Z267" i="1"/>
  <c r="Y283" i="1"/>
  <c r="Z283" i="1" s="1"/>
  <c r="Y299" i="1"/>
  <c r="Z299" i="1" s="1"/>
  <c r="Y315" i="1"/>
  <c r="Z315" i="1" s="1"/>
  <c r="Y331" i="1"/>
  <c r="Z331" i="1" s="1"/>
  <c r="Y347" i="1"/>
  <c r="Z347" i="1" s="1"/>
  <c r="Y363" i="1"/>
  <c r="Z363" i="1" s="1"/>
  <c r="Y28" i="1"/>
  <c r="Z28" i="1" s="1"/>
  <c r="Y44" i="1"/>
  <c r="Z44" i="1" s="1"/>
  <c r="Y60" i="1"/>
  <c r="Z60" i="1" s="1"/>
  <c r="Y76" i="1"/>
  <c r="Z76" i="1" s="1"/>
  <c r="Y92" i="1"/>
  <c r="Z92" i="1" s="1"/>
  <c r="Y108" i="1"/>
  <c r="Z108" i="1" s="1"/>
  <c r="Y124" i="1"/>
  <c r="Z124" i="1" s="1"/>
  <c r="Y140" i="1"/>
  <c r="Z140" i="1" s="1"/>
  <c r="Y156" i="1"/>
  <c r="Z156" i="1" s="1"/>
  <c r="Y172" i="1"/>
  <c r="Z172" i="1" s="1"/>
  <c r="Y188" i="1"/>
  <c r="Z188" i="1" s="1"/>
  <c r="Y204" i="1"/>
  <c r="Z204" i="1" s="1"/>
  <c r="Y220" i="1"/>
  <c r="Z220" i="1" s="1"/>
  <c r="Y236" i="1"/>
  <c r="Z236" i="1" s="1"/>
  <c r="Y252" i="1"/>
  <c r="Z252" i="1" s="1"/>
  <c r="Y268" i="1"/>
  <c r="Z268" i="1" s="1"/>
  <c r="Y284" i="1"/>
  <c r="Z284" i="1" s="1"/>
  <c r="Y300" i="1"/>
  <c r="Z300" i="1" s="1"/>
  <c r="Y316" i="1"/>
  <c r="Z316" i="1" s="1"/>
  <c r="Y332" i="1"/>
  <c r="Z332" i="1" s="1"/>
  <c r="Y348" i="1"/>
  <c r="Z348" i="1" s="1"/>
  <c r="Y364" i="1"/>
  <c r="Z364" i="1" s="1"/>
  <c r="Y380" i="1"/>
  <c r="Z380" i="1" s="1"/>
  <c r="Y396" i="1"/>
  <c r="Z396" i="1" s="1"/>
  <c r="Y412" i="1"/>
  <c r="Z412" i="1" s="1"/>
  <c r="Y428" i="1"/>
  <c r="Z428" i="1" s="1"/>
  <c r="Y444" i="1"/>
  <c r="Z444" i="1" s="1"/>
  <c r="Y460" i="1"/>
  <c r="Z460" i="1" s="1"/>
  <c r="Y476" i="1"/>
  <c r="Z476" i="1" s="1"/>
  <c r="Y492" i="1"/>
  <c r="Z492" i="1" s="1"/>
  <c r="Y508" i="1"/>
  <c r="Z508" i="1" s="1"/>
  <c r="Y525" i="1"/>
  <c r="Z525" i="1" s="1"/>
  <c r="Z541" i="1"/>
  <c r="Y557" i="1"/>
  <c r="Z557" i="1" s="1"/>
  <c r="Y3" i="1"/>
  <c r="Z3" i="1" s="1"/>
  <c r="Y29" i="1"/>
  <c r="Z29" i="1" s="1"/>
  <c r="Y45" i="1"/>
  <c r="Z45" i="1" s="1"/>
  <c r="Y61" i="1"/>
  <c r="Z61" i="1" s="1"/>
  <c r="Y77" i="1"/>
  <c r="Z77" i="1" s="1"/>
  <c r="Y93" i="1"/>
  <c r="Z93" i="1" s="1"/>
  <c r="Y109" i="1"/>
  <c r="Z109" i="1" s="1"/>
  <c r="Y125" i="1"/>
  <c r="Z125" i="1" s="1"/>
  <c r="Y141" i="1"/>
  <c r="Z141" i="1" s="1"/>
  <c r="Y157" i="1"/>
  <c r="Z157" i="1" s="1"/>
  <c r="Y173" i="1"/>
  <c r="Z173" i="1" s="1"/>
  <c r="Y189" i="1"/>
  <c r="Z189" i="1" s="1"/>
  <c r="Y205" i="1"/>
  <c r="Z205" i="1" s="1"/>
  <c r="Y221" i="1"/>
  <c r="Z221" i="1" s="1"/>
  <c r="Y237" i="1"/>
  <c r="Z237" i="1" s="1"/>
  <c r="Y253" i="1"/>
  <c r="Z253" i="1" s="1"/>
  <c r="Y269" i="1"/>
  <c r="Z269" i="1" s="1"/>
  <c r="Y285" i="1"/>
  <c r="Z285" i="1" s="1"/>
  <c r="Y301" i="1"/>
  <c r="Z301" i="1" s="1"/>
  <c r="Y317" i="1"/>
  <c r="Z317" i="1" s="1"/>
  <c r="Y333" i="1"/>
  <c r="Z333" i="1" s="1"/>
  <c r="Y349" i="1"/>
  <c r="Z349" i="1" s="1"/>
  <c r="Y365" i="1"/>
  <c r="Z365" i="1" s="1"/>
  <c r="Y381" i="1"/>
  <c r="Z381" i="1" s="1"/>
  <c r="Y397" i="1"/>
  <c r="Z397" i="1" s="1"/>
  <c r="Y413" i="1"/>
  <c r="Z413" i="1" s="1"/>
  <c r="Y429" i="1"/>
  <c r="Z429" i="1" s="1"/>
  <c r="Y445" i="1"/>
  <c r="Z445" i="1" s="1"/>
  <c r="Y461" i="1"/>
  <c r="Z461" i="1" s="1"/>
  <c r="Z477" i="1"/>
  <c r="Y493" i="1"/>
  <c r="Z493" i="1" s="1"/>
  <c r="Y509" i="1"/>
  <c r="Z509" i="1" s="1"/>
  <c r="Y526" i="1"/>
  <c r="Z526" i="1" s="1"/>
  <c r="Y542" i="1"/>
  <c r="Z542" i="1" s="1"/>
  <c r="Y558" i="1"/>
  <c r="Z558" i="1" s="1"/>
  <c r="Y4" i="1"/>
  <c r="Z4" i="1" s="1"/>
  <c r="Y30" i="1"/>
  <c r="Z30" i="1" s="1"/>
  <c r="Y46" i="1"/>
  <c r="Z46" i="1" s="1"/>
  <c r="Y62" i="1"/>
  <c r="Z62" i="1" s="1"/>
  <c r="Y78" i="1"/>
  <c r="Z78" i="1" s="1"/>
  <c r="Y94" i="1"/>
  <c r="Z94" i="1" s="1"/>
  <c r="Y110" i="1"/>
  <c r="Z110" i="1" s="1"/>
  <c r="Y126" i="1"/>
  <c r="Z126" i="1" s="1"/>
  <c r="Y142" i="1"/>
  <c r="Z142" i="1" s="1"/>
  <c r="Y158" i="1"/>
  <c r="Z158" i="1" s="1"/>
  <c r="Y174" i="1"/>
  <c r="Z174" i="1" s="1"/>
  <c r="Y190" i="1"/>
  <c r="Z190" i="1" s="1"/>
  <c r="Y206" i="1"/>
  <c r="Z206" i="1" s="1"/>
  <c r="Y222" i="1"/>
  <c r="Z222" i="1" s="1"/>
  <c r="Y238" i="1"/>
  <c r="Z238" i="1" s="1"/>
  <c r="Y254" i="1"/>
  <c r="Z254" i="1" s="1"/>
  <c r="Y270" i="1"/>
  <c r="Z270" i="1" s="1"/>
  <c r="Y286" i="1"/>
  <c r="Z286" i="1" s="1"/>
  <c r="Y302" i="1"/>
  <c r="Z302" i="1" s="1"/>
  <c r="Y318" i="1"/>
  <c r="Z318" i="1" s="1"/>
  <c r="Y334" i="1"/>
  <c r="Z334" i="1" s="1"/>
  <c r="Y350" i="1"/>
  <c r="Z350" i="1" s="1"/>
  <c r="Y366" i="1"/>
  <c r="Z366" i="1" s="1"/>
  <c r="Y382" i="1"/>
  <c r="Z382" i="1" s="1"/>
  <c r="Y398" i="1"/>
  <c r="Z398" i="1" s="1"/>
  <c r="Y414" i="1"/>
  <c r="Z414" i="1" s="1"/>
  <c r="Y430" i="1"/>
  <c r="Z430" i="1" s="1"/>
  <c r="Y446" i="1"/>
  <c r="Z446" i="1" s="1"/>
  <c r="Y462" i="1"/>
  <c r="Z462" i="1" s="1"/>
  <c r="Y478" i="1"/>
  <c r="Z478" i="1" s="1"/>
  <c r="Y494" i="1"/>
  <c r="Z494" i="1" s="1"/>
  <c r="Y510" i="1"/>
  <c r="Z510" i="1" s="1"/>
  <c r="Y527" i="1"/>
  <c r="Z527" i="1" s="1"/>
  <c r="Y543" i="1"/>
  <c r="Z543" i="1" s="1"/>
  <c r="Z559" i="1"/>
  <c r="Y5" i="1"/>
  <c r="Z5" i="1" s="1"/>
  <c r="Y31" i="1"/>
  <c r="Z31" i="1" s="1"/>
  <c r="Y47" i="1"/>
  <c r="Z47" i="1" s="1"/>
  <c r="Y63" i="1"/>
  <c r="Z63" i="1" s="1"/>
  <c r="Y79" i="1"/>
  <c r="Z79" i="1" s="1"/>
  <c r="Y95" i="1"/>
  <c r="Z95" i="1" s="1"/>
  <c r="Y111" i="1"/>
  <c r="Z111" i="1" s="1"/>
  <c r="Y127" i="1"/>
  <c r="Z127" i="1" s="1"/>
  <c r="Y143" i="1"/>
  <c r="Z143" i="1" s="1"/>
  <c r="Y159" i="1"/>
  <c r="Z159" i="1" s="1"/>
  <c r="Y175" i="1"/>
  <c r="Z175" i="1" s="1"/>
  <c r="Y191" i="1"/>
  <c r="Z191" i="1" s="1"/>
  <c r="Y207" i="1"/>
  <c r="Z207" i="1" s="1"/>
  <c r="Y223" i="1"/>
  <c r="Z223" i="1" s="1"/>
  <c r="Y239" i="1"/>
  <c r="Z239" i="1" s="1"/>
  <c r="Y255" i="1"/>
  <c r="Z255" i="1" s="1"/>
  <c r="Y271" i="1"/>
  <c r="Z271" i="1" s="1"/>
  <c r="Y287" i="1"/>
  <c r="Z287" i="1" s="1"/>
  <c r="Z303" i="1"/>
  <c r="Y319" i="1"/>
  <c r="Z319" i="1" s="1"/>
  <c r="Z335" i="1"/>
  <c r="Y351" i="1"/>
  <c r="Z351" i="1" s="1"/>
  <c r="Y367" i="1"/>
  <c r="Z367" i="1" s="1"/>
  <c r="Y383" i="1"/>
  <c r="Z383" i="1" s="1"/>
  <c r="Y399" i="1"/>
  <c r="Z399" i="1" s="1"/>
  <c r="Y415" i="1"/>
  <c r="Z415" i="1" s="1"/>
  <c r="Y431" i="1"/>
  <c r="Z431" i="1" s="1"/>
  <c r="Y447" i="1"/>
  <c r="Z447" i="1" s="1"/>
  <c r="Y463" i="1"/>
  <c r="Z463" i="1" s="1"/>
  <c r="Y479" i="1"/>
  <c r="Z479" i="1" s="1"/>
  <c r="Y495" i="1"/>
  <c r="Z495" i="1" s="1"/>
  <c r="Y511" i="1"/>
  <c r="Z511" i="1" s="1"/>
  <c r="Y528" i="1"/>
  <c r="Z528" i="1" s="1"/>
  <c r="Y544" i="1"/>
  <c r="Z544" i="1" s="1"/>
  <c r="Z560" i="1"/>
  <c r="Y6" i="1"/>
  <c r="Z6" i="1" s="1"/>
  <c r="Y32" i="1"/>
  <c r="Z32" i="1" s="1"/>
  <c r="Y48" i="1"/>
  <c r="Z48" i="1" s="1"/>
  <c r="Y64" i="1"/>
  <c r="Z64" i="1" s="1"/>
  <c r="Y80" i="1"/>
  <c r="Z80" i="1" s="1"/>
  <c r="Y96" i="1"/>
  <c r="Z96" i="1" s="1"/>
  <c r="Y112" i="1"/>
  <c r="Z112" i="1" s="1"/>
  <c r="Y128" i="1"/>
  <c r="Z128" i="1" s="1"/>
  <c r="Y144" i="1"/>
  <c r="Z144" i="1" s="1"/>
  <c r="Y160" i="1"/>
  <c r="Z160" i="1" s="1"/>
  <c r="Y176" i="1"/>
  <c r="Z176" i="1" s="1"/>
  <c r="Y192" i="1"/>
  <c r="Z192" i="1" s="1"/>
  <c r="Y208" i="1"/>
  <c r="Z208" i="1" s="1"/>
  <c r="Y224" i="1"/>
  <c r="Z224" i="1" s="1"/>
  <c r="Y240" i="1"/>
  <c r="Z240" i="1" s="1"/>
  <c r="Y256" i="1"/>
  <c r="Z256" i="1" s="1"/>
  <c r="Y272" i="1"/>
  <c r="Z272" i="1" s="1"/>
  <c r="Y288" i="1"/>
  <c r="Z288" i="1" s="1"/>
  <c r="Y304" i="1"/>
  <c r="Z304" i="1" s="1"/>
  <c r="Y320" i="1"/>
  <c r="Z320" i="1" s="1"/>
  <c r="Z336" i="1"/>
  <c r="Y33" i="1"/>
  <c r="Z33" i="1" s="1"/>
  <c r="Y49" i="1"/>
  <c r="Z49" i="1" s="1"/>
  <c r="Y65" i="1"/>
  <c r="Z65" i="1" s="1"/>
  <c r="Y81" i="1"/>
  <c r="Z81" i="1" s="1"/>
  <c r="Y97" i="1"/>
  <c r="Z97" i="1" s="1"/>
  <c r="Y113" i="1"/>
  <c r="Z113" i="1" s="1"/>
  <c r="Y129" i="1"/>
  <c r="Z129" i="1" s="1"/>
  <c r="Y145" i="1"/>
  <c r="Z145" i="1" s="1"/>
  <c r="Y161" i="1"/>
  <c r="Z161" i="1" s="1"/>
  <c r="Y177" i="1"/>
  <c r="Z177" i="1" s="1"/>
  <c r="Y193" i="1"/>
  <c r="Z193" i="1" s="1"/>
  <c r="Y209" i="1"/>
  <c r="Z209" i="1" s="1"/>
  <c r="Y225" i="1"/>
  <c r="Z225" i="1" s="1"/>
  <c r="Y241" i="1"/>
  <c r="Z241" i="1" s="1"/>
  <c r="Y257" i="1"/>
  <c r="Z257" i="1" s="1"/>
  <c r="Y273" i="1"/>
  <c r="Z273" i="1" s="1"/>
  <c r="Y289" i="1"/>
  <c r="Z289" i="1" s="1"/>
  <c r="Y305" i="1"/>
  <c r="Z305" i="1" s="1"/>
  <c r="Y321" i="1"/>
  <c r="Z321" i="1" s="1"/>
  <c r="Y337" i="1"/>
  <c r="Z337" i="1" s="1"/>
  <c r="Y353" i="1"/>
  <c r="Z353" i="1" s="1"/>
  <c r="Y369" i="1"/>
  <c r="Z369" i="1" s="1"/>
  <c r="Y385" i="1"/>
  <c r="Z385" i="1" s="1"/>
  <c r="Y401" i="1"/>
  <c r="Z401" i="1" s="1"/>
  <c r="Y417" i="1"/>
  <c r="Z417" i="1" s="1"/>
  <c r="Y433" i="1"/>
  <c r="Z433" i="1" s="1"/>
  <c r="Y449" i="1"/>
  <c r="Z449" i="1" s="1"/>
  <c r="Y465" i="1"/>
  <c r="Z465" i="1" s="1"/>
  <c r="Y481" i="1"/>
  <c r="Z481" i="1" s="1"/>
  <c r="Y497" i="1"/>
  <c r="Z497" i="1" s="1"/>
  <c r="Y513" i="1"/>
  <c r="Z513" i="1" s="1"/>
  <c r="Y530" i="1"/>
  <c r="Z530" i="1" s="1"/>
  <c r="Y546" i="1"/>
  <c r="Z546" i="1" s="1"/>
  <c r="Y562" i="1"/>
  <c r="Z562" i="1" s="1"/>
  <c r="Y8" i="1"/>
  <c r="Z8" i="1" s="1"/>
  <c r="Y258" i="1"/>
  <c r="Z258" i="1" s="1"/>
  <c r="Y290" i="1"/>
  <c r="Z290" i="1" s="1"/>
  <c r="Z338" i="1"/>
  <c r="Y370" i="1"/>
  <c r="Z370" i="1" s="1"/>
  <c r="Y418" i="1"/>
  <c r="Z418" i="1" s="1"/>
  <c r="Y450" i="1"/>
  <c r="Z450" i="1" s="1"/>
  <c r="Z482" i="1"/>
  <c r="Y514" i="1"/>
  <c r="Z514" i="1" s="1"/>
  <c r="Y18" i="1"/>
  <c r="Z18" i="1" s="1"/>
  <c r="Y34" i="1"/>
  <c r="Z34" i="1" s="1"/>
  <c r="Y50" i="1"/>
  <c r="Z50" i="1" s="1"/>
  <c r="Y66" i="1"/>
  <c r="Z66" i="1" s="1"/>
  <c r="Y82" i="1"/>
  <c r="Z82" i="1" s="1"/>
  <c r="Y98" i="1"/>
  <c r="Z98" i="1" s="1"/>
  <c r="Y114" i="1"/>
  <c r="Z114" i="1" s="1"/>
  <c r="Y130" i="1"/>
  <c r="Z130" i="1" s="1"/>
  <c r="Y146" i="1"/>
  <c r="Z146" i="1" s="1"/>
  <c r="Y162" i="1"/>
  <c r="Z162" i="1" s="1"/>
  <c r="Y178" i="1"/>
  <c r="Z178" i="1" s="1"/>
  <c r="Y194" i="1"/>
  <c r="Z194" i="1" s="1"/>
  <c r="Y210" i="1"/>
  <c r="Z210" i="1" s="1"/>
  <c r="Y226" i="1"/>
  <c r="Z226" i="1" s="1"/>
  <c r="Y242" i="1"/>
  <c r="Z242" i="1" s="1"/>
  <c r="Y274" i="1"/>
  <c r="Z274" i="1" s="1"/>
  <c r="Y306" i="1"/>
  <c r="Z306" i="1" s="1"/>
  <c r="Y322" i="1"/>
  <c r="Z322" i="1" s="1"/>
  <c r="Z354" i="1"/>
  <c r="Y386" i="1"/>
  <c r="Z386" i="1" s="1"/>
  <c r="Y402" i="1"/>
  <c r="Z402" i="1" s="1"/>
  <c r="Y434" i="1"/>
  <c r="Z434" i="1" s="1"/>
  <c r="Y466" i="1"/>
  <c r="Z466" i="1" s="1"/>
  <c r="Y498" i="1"/>
  <c r="Z498" i="1" s="1"/>
  <c r="Y19" i="1"/>
  <c r="Z19" i="1" s="1"/>
  <c r="Y35" i="1"/>
  <c r="Z35" i="1" s="1"/>
  <c r="Y51" i="1"/>
  <c r="Z51" i="1" s="1"/>
  <c r="Y67" i="1"/>
  <c r="Z67" i="1" s="1"/>
  <c r="Y83" i="1"/>
  <c r="Z83" i="1" s="1"/>
  <c r="Y99" i="1"/>
  <c r="Z99" i="1" s="1"/>
  <c r="Y115" i="1"/>
  <c r="Z115" i="1" s="1"/>
  <c r="Y131" i="1"/>
  <c r="Z131" i="1" s="1"/>
  <c r="Y147" i="1"/>
  <c r="Z147" i="1" s="1"/>
  <c r="Y163" i="1"/>
  <c r="Z163" i="1" s="1"/>
  <c r="Y179" i="1"/>
  <c r="Z179" i="1" s="1"/>
  <c r="Y195" i="1"/>
  <c r="Z195" i="1" s="1"/>
  <c r="Y211" i="1"/>
  <c r="Z211" i="1" s="1"/>
  <c r="Y227" i="1"/>
  <c r="Z227" i="1" s="1"/>
  <c r="Y243" i="1"/>
  <c r="Z243" i="1" s="1"/>
  <c r="Y259" i="1"/>
  <c r="Z259" i="1" s="1"/>
  <c r="Y275" i="1"/>
  <c r="Z275" i="1" s="1"/>
  <c r="Y291" i="1"/>
  <c r="Z291" i="1" s="1"/>
  <c r="Y307" i="1"/>
  <c r="Z307" i="1" s="1"/>
  <c r="Y323" i="1"/>
  <c r="Z323" i="1" s="1"/>
  <c r="Z339" i="1"/>
  <c r="Y355" i="1"/>
  <c r="Z355" i="1" s="1"/>
  <c r="Y371" i="1"/>
  <c r="Z371" i="1" s="1"/>
  <c r="Y387" i="1"/>
  <c r="Z387" i="1" s="1"/>
  <c r="Y403" i="1"/>
  <c r="Z403" i="1" s="1"/>
  <c r="Y419" i="1"/>
  <c r="Z419" i="1" s="1"/>
  <c r="Y435" i="1"/>
  <c r="Z435" i="1" s="1"/>
  <c r="Y451" i="1"/>
  <c r="Z451" i="1" s="1"/>
  <c r="Y467" i="1"/>
  <c r="Z467" i="1" s="1"/>
  <c r="Y483" i="1"/>
  <c r="Z483" i="1" s="1"/>
  <c r="Y499" i="1"/>
  <c r="Z499" i="1" s="1"/>
  <c r="Y515" i="1"/>
  <c r="Z515" i="1" s="1"/>
  <c r="Y532" i="1"/>
  <c r="Z532" i="1" s="1"/>
  <c r="Y548" i="1"/>
  <c r="Z548" i="1" s="1"/>
  <c r="Y564" i="1"/>
  <c r="Z564" i="1" s="1"/>
  <c r="Y10" i="1"/>
  <c r="Z10" i="1" s="1"/>
  <c r="Y20" i="1"/>
  <c r="Z20" i="1" s="1"/>
  <c r="Y36" i="1"/>
  <c r="Z36" i="1" s="1"/>
  <c r="Y52" i="1"/>
  <c r="Z52" i="1" s="1"/>
  <c r="Y68" i="1"/>
  <c r="Z68" i="1" s="1"/>
  <c r="Y84" i="1"/>
  <c r="Z84" i="1" s="1"/>
  <c r="Y100" i="1"/>
  <c r="Z100" i="1" s="1"/>
  <c r="Y116" i="1"/>
  <c r="Z116" i="1" s="1"/>
  <c r="Y132" i="1"/>
  <c r="Z132" i="1" s="1"/>
  <c r="Y148" i="1"/>
  <c r="Z148" i="1" s="1"/>
  <c r="Y164" i="1"/>
  <c r="Z164" i="1" s="1"/>
  <c r="Y180" i="1"/>
  <c r="Z180" i="1" s="1"/>
  <c r="Y196" i="1"/>
  <c r="Z196" i="1" s="1"/>
  <c r="Y212" i="1"/>
  <c r="Z212" i="1" s="1"/>
  <c r="Y228" i="1"/>
  <c r="Z228" i="1" s="1"/>
  <c r="Y244" i="1"/>
  <c r="Z244" i="1" s="1"/>
  <c r="Y260" i="1"/>
  <c r="Z260" i="1" s="1"/>
  <c r="Y276" i="1"/>
  <c r="Z276" i="1" s="1"/>
  <c r="Y292" i="1"/>
  <c r="Z292" i="1" s="1"/>
  <c r="Z308" i="1"/>
  <c r="Y324" i="1"/>
  <c r="Z324" i="1" s="1"/>
  <c r="Y340" i="1"/>
  <c r="Z340" i="1" s="1"/>
  <c r="Y356" i="1"/>
  <c r="Z356" i="1" s="1"/>
  <c r="Y372" i="1"/>
  <c r="Z372" i="1" s="1"/>
  <c r="Y388" i="1"/>
  <c r="Z388" i="1" s="1"/>
  <c r="Z404" i="1"/>
  <c r="Z420" i="1"/>
  <c r="Y436" i="1"/>
  <c r="Z436" i="1" s="1"/>
  <c r="Y452" i="1"/>
  <c r="Z452" i="1" s="1"/>
  <c r="Y468" i="1"/>
  <c r="Z468" i="1" s="1"/>
  <c r="Z484" i="1"/>
  <c r="Y500" i="1"/>
  <c r="Z500" i="1" s="1"/>
  <c r="Y516" i="1"/>
  <c r="Z516" i="1" s="1"/>
  <c r="Y533" i="1"/>
  <c r="Z533" i="1" s="1"/>
  <c r="Y549" i="1"/>
  <c r="Z549" i="1" s="1"/>
  <c r="Z565" i="1"/>
  <c r="Y21" i="1"/>
  <c r="Z21" i="1" s="1"/>
  <c r="Y37" i="1"/>
  <c r="Z37" i="1" s="1"/>
  <c r="Y53" i="1"/>
  <c r="Z53" i="1" s="1"/>
  <c r="Y69" i="1"/>
  <c r="Z69" i="1" s="1"/>
  <c r="Y85" i="1"/>
  <c r="Z85" i="1" s="1"/>
  <c r="Y101" i="1"/>
  <c r="Z101" i="1" s="1"/>
  <c r="Y117" i="1"/>
  <c r="Z117" i="1" s="1"/>
  <c r="Y133" i="1"/>
  <c r="Z133" i="1" s="1"/>
  <c r="Y149" i="1"/>
  <c r="Z149" i="1" s="1"/>
  <c r="Y165" i="1"/>
  <c r="Z165" i="1" s="1"/>
  <c r="Y181" i="1"/>
  <c r="Z181" i="1" s="1"/>
  <c r="Y197" i="1"/>
  <c r="Z197" i="1" s="1"/>
  <c r="Y213" i="1"/>
  <c r="Z213" i="1" s="1"/>
  <c r="Y229" i="1"/>
  <c r="Z229" i="1" s="1"/>
  <c r="Y245" i="1"/>
  <c r="Z245" i="1" s="1"/>
  <c r="Y261" i="1"/>
  <c r="Z261" i="1" s="1"/>
  <c r="Y277" i="1"/>
  <c r="Z277" i="1" s="1"/>
  <c r="Y293" i="1"/>
  <c r="Z293" i="1" s="1"/>
  <c r="Z309" i="1"/>
  <c r="Y325" i="1"/>
  <c r="Z325" i="1" s="1"/>
  <c r="Y341" i="1"/>
  <c r="Z341" i="1" s="1"/>
  <c r="Y357" i="1"/>
  <c r="Z357" i="1" s="1"/>
  <c r="Y373" i="1"/>
  <c r="Z373" i="1" s="1"/>
  <c r="Y389" i="1"/>
  <c r="Z389" i="1" s="1"/>
  <c r="Y405" i="1"/>
  <c r="Z405" i="1" s="1"/>
  <c r="Z421" i="1"/>
  <c r="Y437" i="1"/>
  <c r="Z437" i="1" s="1"/>
  <c r="Y453" i="1"/>
  <c r="Z453" i="1" s="1"/>
  <c r="Y469" i="1"/>
  <c r="Z469" i="1" s="1"/>
  <c r="Y485" i="1"/>
  <c r="Z485" i="1" s="1"/>
  <c r="Y501" i="1"/>
  <c r="Z501" i="1" s="1"/>
  <c r="Y22" i="1"/>
  <c r="Z22" i="1" s="1"/>
  <c r="Y38" i="1"/>
  <c r="Z38" i="1" s="1"/>
  <c r="Y54" i="1"/>
  <c r="Z54" i="1" s="1"/>
  <c r="Y70" i="1"/>
  <c r="Z70" i="1" s="1"/>
  <c r="Y86" i="1"/>
  <c r="Z86" i="1" s="1"/>
  <c r="Y102" i="1"/>
  <c r="Z102" i="1" s="1"/>
  <c r="Y118" i="1"/>
  <c r="Z118" i="1" s="1"/>
  <c r="Y134" i="1"/>
  <c r="Z134" i="1" s="1"/>
  <c r="Y150" i="1"/>
  <c r="Z150" i="1" s="1"/>
  <c r="Y166" i="1"/>
  <c r="Z166" i="1" s="1"/>
  <c r="Y182" i="1"/>
  <c r="Z182" i="1" s="1"/>
  <c r="Y198" i="1"/>
  <c r="Z198" i="1" s="1"/>
  <c r="Y72" i="1"/>
  <c r="Z72" i="1" s="1"/>
  <c r="Y200" i="1"/>
  <c r="Z200" i="1" s="1"/>
  <c r="Y280" i="1"/>
  <c r="Z280" i="1" s="1"/>
  <c r="Y344" i="1"/>
  <c r="Z344" i="1" s="1"/>
  <c r="Z392" i="1"/>
  <c r="Y432" i="1"/>
  <c r="Z432" i="1" s="1"/>
  <c r="Y474" i="1"/>
  <c r="Z474" i="1" s="1"/>
  <c r="Z519" i="1"/>
  <c r="Y551" i="1"/>
  <c r="Z551" i="1" s="1"/>
  <c r="Y12" i="1"/>
  <c r="Z12" i="1" s="1"/>
  <c r="Y74" i="1"/>
  <c r="Z74" i="1" s="1"/>
  <c r="Y202" i="1"/>
  <c r="Z202" i="1" s="1"/>
  <c r="Y281" i="1"/>
  <c r="Z281" i="1" s="1"/>
  <c r="Y345" i="1"/>
  <c r="Z345" i="1" s="1"/>
  <c r="Y393" i="1"/>
  <c r="Z393" i="1" s="1"/>
  <c r="Y438" i="1"/>
  <c r="Z438" i="1" s="1"/>
  <c r="Y475" i="1"/>
  <c r="Z475" i="1" s="1"/>
  <c r="Y521" i="1"/>
  <c r="Z521" i="1" s="1"/>
  <c r="Y553" i="1"/>
  <c r="Z553" i="1" s="1"/>
  <c r="Y13" i="1"/>
  <c r="Z13" i="1" s="1"/>
  <c r="Y88" i="1"/>
  <c r="Z88" i="1" s="1"/>
  <c r="Y214" i="1"/>
  <c r="Z214" i="1" s="1"/>
  <c r="Y282" i="1"/>
  <c r="Z282" i="1" s="1"/>
  <c r="Y346" i="1"/>
  <c r="Z346" i="1" s="1"/>
  <c r="Y394" i="1"/>
  <c r="Z394" i="1" s="1"/>
  <c r="Y440" i="1"/>
  <c r="Z440" i="1" s="1"/>
  <c r="Z480" i="1"/>
  <c r="Y522" i="1"/>
  <c r="Z522" i="1" s="1"/>
  <c r="Y554" i="1"/>
  <c r="Z554" i="1" s="1"/>
  <c r="Y15" i="1"/>
  <c r="Z15" i="1" s="1"/>
  <c r="Y90" i="1"/>
  <c r="Z90" i="1" s="1"/>
  <c r="Y216" i="1"/>
  <c r="Z216" i="1" s="1"/>
  <c r="Y294" i="1"/>
  <c r="Z294" i="1" s="1"/>
  <c r="Y352" i="1"/>
  <c r="Z352" i="1" s="1"/>
  <c r="Y395" i="1"/>
  <c r="Z395" i="1" s="1"/>
  <c r="Y441" i="1"/>
  <c r="Z441" i="1" s="1"/>
  <c r="Z486" i="1"/>
  <c r="Y523" i="1"/>
  <c r="Z523" i="1" s="1"/>
  <c r="Y555" i="1"/>
  <c r="Z555" i="1" s="1"/>
  <c r="Y16" i="1"/>
  <c r="Z16" i="1" s="1"/>
  <c r="Y342" i="1"/>
  <c r="Z342" i="1" s="1"/>
  <c r="Y518" i="1"/>
  <c r="Z518" i="1" s="1"/>
  <c r="Y104" i="1"/>
  <c r="Z104" i="1" s="1"/>
  <c r="Y218" i="1"/>
  <c r="Z218" i="1" s="1"/>
  <c r="Y296" i="1"/>
  <c r="Z296" i="1" s="1"/>
  <c r="Y358" i="1"/>
  <c r="Z358" i="1" s="1"/>
  <c r="Y400" i="1"/>
  <c r="Z400" i="1" s="1"/>
  <c r="Y442" i="1"/>
  <c r="Z442" i="1" s="1"/>
  <c r="Y488" i="1"/>
  <c r="Z488" i="1" s="1"/>
  <c r="Y524" i="1"/>
  <c r="Z524" i="1" s="1"/>
  <c r="Y556" i="1"/>
  <c r="Z556" i="1" s="1"/>
  <c r="Y17" i="1"/>
  <c r="Z17" i="1" s="1"/>
  <c r="Y186" i="1"/>
  <c r="Z186" i="1" s="1"/>
  <c r="Y278" i="1"/>
  <c r="Z278" i="1" s="1"/>
  <c r="Y427" i="1"/>
  <c r="Z427" i="1" s="1"/>
  <c r="Y106" i="1"/>
  <c r="Z106" i="1" s="1"/>
  <c r="Y230" i="1"/>
  <c r="Z230" i="1" s="1"/>
  <c r="Y297" i="1"/>
  <c r="Z297" i="1" s="1"/>
  <c r="Y360" i="1"/>
  <c r="Z360" i="1" s="1"/>
  <c r="Y406" i="1"/>
  <c r="Z406" i="1" s="1"/>
  <c r="Y443" i="1"/>
  <c r="Z443" i="1" s="1"/>
  <c r="Y489" i="1"/>
  <c r="Z489" i="1" s="1"/>
  <c r="Y529" i="1"/>
  <c r="Z529" i="1" s="1"/>
  <c r="Z561" i="1"/>
  <c r="Y120" i="1"/>
  <c r="Z120" i="1" s="1"/>
  <c r="Y232" i="1"/>
  <c r="Z232" i="1" s="1"/>
  <c r="Z298" i="1"/>
  <c r="Y361" i="1"/>
  <c r="Z361" i="1" s="1"/>
  <c r="Y408" i="1"/>
  <c r="Z408" i="1" s="1"/>
  <c r="Y448" i="1"/>
  <c r="Z448" i="1" s="1"/>
  <c r="Y490" i="1"/>
  <c r="Z490" i="1" s="1"/>
  <c r="Y531" i="1"/>
  <c r="Z531" i="1" s="1"/>
  <c r="Y563" i="1"/>
  <c r="Z563" i="1" s="1"/>
  <c r="Y456" i="1"/>
  <c r="Z456" i="1" s="1"/>
  <c r="Y496" i="1"/>
  <c r="Z496" i="1" s="1"/>
  <c r="Z535" i="1"/>
  <c r="Y122" i="1"/>
  <c r="Z122" i="1" s="1"/>
  <c r="Y234" i="1"/>
  <c r="Z234" i="1" s="1"/>
  <c r="Y310" i="1"/>
  <c r="Z310" i="1" s="1"/>
  <c r="Y362" i="1"/>
  <c r="Z362" i="1" s="1"/>
  <c r="Y409" i="1"/>
  <c r="Z409" i="1" s="1"/>
  <c r="Y454" i="1"/>
  <c r="Z454" i="1" s="1"/>
  <c r="Y491" i="1"/>
  <c r="Z491" i="1" s="1"/>
  <c r="Z534" i="1"/>
  <c r="Z566" i="1"/>
  <c r="Z567" i="1"/>
  <c r="Y390" i="1"/>
  <c r="Z390" i="1" s="1"/>
  <c r="Y136" i="1"/>
  <c r="Z136" i="1" s="1"/>
  <c r="Y246" i="1"/>
  <c r="Z246" i="1" s="1"/>
  <c r="Y312" i="1"/>
  <c r="Z312" i="1" s="1"/>
  <c r="Y368" i="1"/>
  <c r="Z368" i="1" s="1"/>
  <c r="Y410" i="1"/>
  <c r="Z410" i="1" s="1"/>
  <c r="Y58" i="1"/>
  <c r="Z58" i="1" s="1"/>
  <c r="Y138" i="1"/>
  <c r="Z138" i="1" s="1"/>
  <c r="Y248" i="1"/>
  <c r="Z248" i="1" s="1"/>
  <c r="Y313" i="1"/>
  <c r="Z313" i="1" s="1"/>
  <c r="Y374" i="1"/>
  <c r="Z374" i="1" s="1"/>
  <c r="Z411" i="1"/>
  <c r="Y457" i="1"/>
  <c r="Z457" i="1" s="1"/>
  <c r="Y502" i="1"/>
  <c r="Z502" i="1" s="1"/>
  <c r="Z537" i="1"/>
  <c r="Y569" i="1"/>
  <c r="Z569" i="1" s="1"/>
  <c r="Y152" i="1"/>
  <c r="Z152" i="1" s="1"/>
  <c r="Y250" i="1"/>
  <c r="Z250" i="1" s="1"/>
  <c r="Y314" i="1"/>
  <c r="Z314" i="1" s="1"/>
  <c r="Y376" i="1"/>
  <c r="Z376" i="1" s="1"/>
  <c r="Y416" i="1"/>
  <c r="Z416" i="1" s="1"/>
  <c r="Y458" i="1"/>
  <c r="Z458" i="1" s="1"/>
  <c r="Y504" i="1"/>
  <c r="Z504" i="1" s="1"/>
  <c r="Z538" i="1"/>
  <c r="Y570" i="1"/>
  <c r="Z570" i="1" s="1"/>
  <c r="Y24" i="1"/>
  <c r="Z24" i="1" s="1"/>
  <c r="Y473" i="1"/>
  <c r="Z473" i="1" s="1"/>
  <c r="Y26" i="1"/>
  <c r="Z26" i="1" s="1"/>
  <c r="Y154" i="1"/>
  <c r="Z154" i="1" s="1"/>
  <c r="Z262" i="1"/>
  <c r="Y326" i="1"/>
  <c r="Z326" i="1" s="1"/>
  <c r="Y377" i="1"/>
  <c r="Z377" i="1" s="1"/>
  <c r="Z422" i="1"/>
  <c r="Y459" i="1"/>
  <c r="Z459" i="1" s="1"/>
  <c r="Y505" i="1"/>
  <c r="Z505" i="1" s="1"/>
  <c r="Z539" i="1"/>
  <c r="Y571" i="1"/>
  <c r="Z571" i="1" s="1"/>
  <c r="Y40" i="1"/>
  <c r="Z40" i="1" s="1"/>
  <c r="Y168" i="1"/>
  <c r="Z168" i="1" s="1"/>
  <c r="Z264" i="1"/>
  <c r="Z328" i="1"/>
  <c r="Y378" i="1"/>
  <c r="Z378" i="1" s="1"/>
  <c r="Y424" i="1"/>
  <c r="Z424" i="1" s="1"/>
  <c r="Y464" i="1"/>
  <c r="Z464" i="1" s="1"/>
  <c r="Y506" i="1"/>
  <c r="Z506" i="1" s="1"/>
  <c r="Y540" i="1"/>
  <c r="Z540" i="1" s="1"/>
  <c r="Y572" i="1"/>
  <c r="Z572" i="1" s="1"/>
  <c r="Y11" i="1"/>
  <c r="Z11" i="1" s="1"/>
  <c r="Y42" i="1"/>
  <c r="Z42" i="1" s="1"/>
  <c r="Y170" i="1"/>
  <c r="Z170" i="1" s="1"/>
  <c r="Z265" i="1"/>
  <c r="Y329" i="1"/>
  <c r="Z329" i="1" s="1"/>
  <c r="Z379" i="1"/>
  <c r="Y425" i="1"/>
  <c r="Z425" i="1" s="1"/>
  <c r="Y470" i="1"/>
  <c r="Z470" i="1" s="1"/>
  <c r="Y507" i="1"/>
  <c r="Z507" i="1" s="1"/>
  <c r="Y545" i="1"/>
  <c r="Z545" i="1" s="1"/>
  <c r="Y7" i="1"/>
  <c r="Z7" i="1" s="1"/>
  <c r="Y550" i="1"/>
  <c r="Z550" i="1" s="1"/>
  <c r="Y56" i="1"/>
  <c r="Z56" i="1" s="1"/>
  <c r="Y184" i="1"/>
  <c r="Z184" i="1" s="1"/>
  <c r="Z266" i="1"/>
  <c r="Y330" i="1"/>
  <c r="Z330" i="1" s="1"/>
  <c r="Y384" i="1"/>
  <c r="Z384" i="1" s="1"/>
  <c r="Y426" i="1"/>
  <c r="Z426" i="1" s="1"/>
  <c r="Y472" i="1"/>
  <c r="Z472" i="1" s="1"/>
  <c r="Y512" i="1"/>
  <c r="Z512" i="1" s="1"/>
  <c r="Y547" i="1"/>
  <c r="Z547" i="1" s="1"/>
  <c r="Y9" i="1"/>
  <c r="Z9"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tc={1410E2A0-A99B-4C07-9C14-EC19316045F8}</author>
    <author>tc={768E66C2-6336-40CC-9231-A7D998CD5B2E}</author>
    <author>tc={754DEC6F-4873-4CB4-A0FE-F95755851137}</author>
    <author>tc={3F59D309-FE64-4AD4-9992-972063382177}</author>
    <author>tc={A6712C5D-0E2C-4A01-835D-218E7A4FBC67}</author>
    <author>tc={FEF03E69-38A9-4095-BDB4-F990BDD73012}</author>
    <author>tc={38BF1A7F-5935-4308-B104-9FA33E03BBCD}</author>
    <author>tc={9B5F39B9-FCB6-4AFD-9338-00EED14860BB}</author>
    <author>tc={4211742A-CF50-4BC7-A292-8E023682E411}</author>
    <author>tc={5F4EA533-E8BF-4ED3-93B6-F11024056BED}</author>
    <author>tc={AB2FE36B-2B16-48F5-A5AE-7E7C06DCDBA5}</author>
    <author>tc={D407EF73-FA36-4022-B302-CFEAE859813D}</author>
    <author>tc={B8943BEA-1563-45AF-9CF9-08EF4C7CB61A}</author>
    <author>tc={23EB7678-514A-410C-8989-0D9F2C377D13}</author>
    <author>tc={7A1B491D-7C8B-4C43-996B-8D0776D74DCE}</author>
    <author>tc={5F945C9D-A9D4-473A-9635-E39C136CA3B7}</author>
    <author>tc={8B6061CD-9DBF-408C-B037-261287FBD8F2}</author>
    <author>tc={8EBB629E-5B0E-4282-8B46-AF21E0F5C6B2}</author>
    <author>tc={CBAAA1B1-56A3-4811-AB10-DBC822EBE9BE}</author>
    <author>tc={760AF3EB-9FC9-44AF-969A-0547A0256EE3}</author>
    <author>tc={272709BE-A9CC-4AC2-B8C4-9F69770AAEF9}</author>
    <author>tc={401469FA-3A58-4C15-9700-71A10167A256}</author>
    <author>tc={40660850-149B-4D79-A7B3-F25E4AF444CF}</author>
    <author>tc={0BB09F28-4FF7-48C6-A44F-E9756C6CA064}</author>
    <author>tc={652BD3BF-A58C-4F34-AB49-7F499C828920}</author>
    <author>tc={D511A239-DA89-45FD-80D9-0FE7C84438E4}</author>
    <author>tc={65F75BB1-5676-471A-91CD-DE02AE39FD36}</author>
    <author>tc={3B03F834-02A1-4863-A952-BC3849083F0D}</author>
    <author>tc={42985624-D57A-4AA0-A9B2-5DF09245A1E8}</author>
    <author>tc={3A3239A8-71C4-4FCA-806A-BC3CBB7637E8}</author>
  </authors>
  <commentList>
    <comment ref="M26" authorId="0" shapeId="0" xr:uid="{1410E2A0-A99B-4C07-9C14-EC19316045F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決済に必要な情報ですが貴重とは無関係です。</t>
      </text>
    </comment>
    <comment ref="F76" authorId="1" shapeId="0" xr:uid="{768E66C2-6336-40CC-9231-A7D998CD5B2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受注者者となっており誤記訂正</t>
      </text>
    </comment>
    <comment ref="M76" authorId="2" shapeId="0" xr:uid="{754DEC6F-4873-4CB4-A0FE-F9575585113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EDIのメッセージングに必要なデータですが、記帳とは無関係です。</t>
      </text>
    </comment>
    <comment ref="M99" authorId="3" shapeId="0" xr:uid="{3F59D309-FE64-4AD4-9992-97206338217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EDIのメッセージングに必要なデータですが、記帳とは無関係です。</t>
      </text>
    </comment>
    <comment ref="M106" authorId="4" shapeId="0" xr:uid="{A6712C5D-0E2C-4A01-835D-218E7A4FBC6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インボイス通貨が何かは記帳に必須ではありません。</t>
      </text>
    </comment>
    <comment ref="M205" authorId="5" shapeId="0" xr:uid="{FEF03E69-38A9-4095-BDB4-F990BDD7301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支払や決済に必要な情報は、記帳とは無関係です。以下同様。</t>
      </text>
    </comment>
    <comment ref="M237" authorId="6" shapeId="0" xr:uid="{38BF1A7F-5935-4308-B104-9FA33E03BBC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決済に必要な情報ですが、記帳とは無関係です。</t>
      </text>
    </comment>
    <comment ref="M240" authorId="7" shapeId="0" xr:uid="{9B5F39B9-FCB6-4AFD-9338-00EED14860B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鑑ヘッダの合計金額は、未清算金額や調整金額含めて、生産に必要なデータですが、記帳対象ではありません。
明細文書の合計金額（SIGR65）や調整金額を記帳します。</t>
      </text>
    </comment>
    <comment ref="Q243" authorId="8" shapeId="0" xr:uid="{4211742A-CF50-4BC7-A292-8E023682E411}">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CIIH_ Trade Settlement_ Monetary Summation. Tax Basis Total. Amount	A monetary value of the total of all tax basis amounts being reported in this CIIH trade settlement monetary summation.
</t>
      </text>
    </comment>
    <comment ref="M247" authorId="9" shapeId="0" xr:uid="{5F4EA533-E8BF-4ED3-93B6-F11024056BE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鑑ヘッダの合計金額は、未清算金額や調整金額含めて、生産に必要なデータですが、記帳対象ではありません。</t>
      </text>
    </comment>
    <comment ref="M250" authorId="10" shapeId="0" xr:uid="{AB2FE36B-2B16-48F5-A5AE-7E7C06DCDBA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鑑ヘッダのデータは、決済のためのものであり、請求内容に関連するデータは明細文書ヘッダの金額を記帳対象とします。</t>
      </text>
    </comment>
    <comment ref="M263" authorId="11" shapeId="0" xr:uid="{D407EF73-FA36-4022-B302-CFEAE859813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鑑ヘッダのデータは、決済のためのものであり、請求内容に関連するデータは明細文書ヘッダの金額を記帳対象とします。</t>
      </text>
    </comment>
    <comment ref="M269" authorId="12" shapeId="0" xr:uid="{B8943BEA-1563-45AF-9CF9-08EF4C7CB61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鑑ヘッダのデータは、決済のためのものであり、未決済情報そのものは記帳対象ではありません。</t>
      </text>
    </comment>
    <comment ref="M322" authorId="13" shapeId="0" xr:uid="{23EB7678-514A-410C-8989-0D9F2C377D1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仕入明細を発行する買い手には無関係ですが、売り手が出荷基準で売掛を計上している場合、売上台帳との突合せに使用できます。</t>
      </text>
    </comment>
    <comment ref="M326" authorId="14" shapeId="0" xr:uid="{7A1B491D-7C8B-4C43-996B-8D0776D74DC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仕入明細を発行する買い手には無関係ですが、売り手が出荷基準で売掛を計上している場合、売上台帳との突合せに使用できます。
参照文書を特定するために必要なデータです。</t>
      </text>
    </comment>
    <comment ref="M328" authorId="15" shapeId="0" xr:uid="{5F945C9D-A9D4-473A-9635-E39C136CA3B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売り手が会計初期基準を「出荷日」で行う場合は、買い手から「仕入明細」を待たずとも売上帳に記帳されていることがあります。「仕入明細」を待って記帳するときにはこの日付を使います。
IID229があるのでこの項目は不要です。</t>
      </text>
    </comment>
    <comment ref="F333" authorId="16" shapeId="0" xr:uid="{8B6061CD-9DBF-408C-B037-261287FBD8F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出荷」が日本語として解釈の余地がある（売り手が出荷したことをだれがだれに回答するのかと解釈される）ので、「受領結果通知書」へ変更されてはいかがでしょうか。あるいは、「検収結果通知」や「入荷受領通知」など。</t>
      </text>
    </comment>
    <comment ref="G333" authorId="17" shapeId="0" xr:uid="{8EBB629E-5B0E-4282-8B46-AF21E0F5C6B2}">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CCL D24A Definition "The Cross Industry (CI) receiving advice document referenced from this CIIL supply chain trade delivery."ですから、
本 CIIL サプライチェーン取引配送に紐づき参照される、CI 受領通知（Receiving Advice）文書。 </t>
      </text>
    </comment>
    <comment ref="H349" authorId="18" shapeId="0" xr:uid="{CBAAA1B1-56A3-4811-AB10-DBC822EBE9B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ひとつの返金には一つの消費税が対応すると考えますので、0..nでなく0..1。</t>
      </text>
    </comment>
    <comment ref="H360" authorId="19" shapeId="0" xr:uid="{760AF3EB-9FC9-44AF-969A-0547A0256EE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ひとつの追加請求には一つの消費税が対応すると考えますので、0..nでなく0..1。</t>
      </text>
    </comment>
    <comment ref="F377" authorId="20" shapeId="0" xr:uid="{272709BE-A9CC-4AC2-B8C4-9F69770AAEF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文書通貨の税と会計通貨の税は、課税分類税通貨コードがどちらかを条件に明細文書ヘッダ／明細文書ヘッダ税グループを区別することで可能なので、税額に通貨コードを定義するより課税分類税通貨コードを条件にASBIEを区別するほうが実装が容易です。</t>
      </text>
    </comment>
    <comment ref="M384" authorId="21" shapeId="0" xr:uid="{401469FA-3A58-4C15-9700-71A10167A25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記帳する日付があるので不要です。</t>
      </text>
    </comment>
    <comment ref="M390" authorId="22" shapeId="0" xr:uid="{40660850-149B-4D79-A7B3-F25E4AF444C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合計税額は記帳対象ではありません、税率別の合計金額を記帳します。</t>
      </text>
    </comment>
    <comment ref="M391" authorId="23" shapeId="0" xr:uid="{0BB09F28-4FF7-48C6-A44F-E9756C6CA06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外貨建ての場合は、こちらの金額を記帳します。その場合、SIID275は使用しません。</t>
      </text>
    </comment>
    <comment ref="F411" authorId="24" shapeId="0" xr:uid="{652BD3BF-A58C-4F34-AB49-7F499C82892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必要であれば、添付バイナリファイル用のASBIEを定義してください。</t>
      </text>
    </comment>
    <comment ref="M427" authorId="25" shapeId="0" xr:uid="{D511A239-DA89-45FD-80D9-0FE7C84438E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明細行データは記帳しません。</t>
      </text>
    </comment>
    <comment ref="F433" authorId="26" shapeId="0" xr:uid="{65F75BB1-5676-471A-91CD-DE02AE39FD3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CIILB_ Subordinate_ Trade Line Item. Detailsの下位のASBIEでは、Productが先頭です。</t>
      </text>
    </comment>
    <comment ref="F471" authorId="27" shapeId="0" xr:uid="{3B03F834-02A1-4863-A952-BC3849083F0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必要であれば、添付バイナリファイル用のASBIEを定義してください。</t>
      </text>
    </comment>
    <comment ref="F565" authorId="28" shapeId="0" xr:uid="{42985624-D57A-4AA0-A9B2-5DF09245A1E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明細行レベルのデータは、仕訳日記帳に記帳しません。</t>
      </text>
    </comment>
    <comment ref="F569" authorId="29" shapeId="0" xr:uid="{3A3239A8-71C4-4FCA-806A-BC3CBB7637E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明細行の最後のASBIEが注釈です。</t>
      </text>
    </comment>
  </commentList>
</comments>
</file>

<file path=xl/sharedStrings.xml><?xml version="1.0" encoding="utf-8"?>
<sst xmlns="http://schemas.openxmlformats.org/spreadsheetml/2006/main" count="11161" uniqueCount="3004">
  <si>
    <t>GR/ID欄の緑色セルグループ：このグループはキーとなるグループを参照する情報項目を含む。この参照情報項目はキーとなる情報項目の内容を転記する。</t>
    <rPh sb="5" eb="6">
      <t>ラン</t>
    </rPh>
    <rPh sb="7" eb="9">
      <t>ミドリイロ</t>
    </rPh>
    <rPh sb="37" eb="41">
      <t>ジョウホウコウモク</t>
    </rPh>
    <rPh sb="42" eb="43">
      <t>フク</t>
    </rPh>
    <rPh sb="47" eb="49">
      <t>サンショウ</t>
    </rPh>
    <rPh sb="49" eb="53">
      <t>ジョウホウコウモク</t>
    </rPh>
    <rPh sb="58" eb="60">
      <t>サンショウ</t>
    </rPh>
    <rPh sb="64" eb="66">
      <t>ナイヨウ</t>
    </rPh>
    <rPh sb="67" eb="69">
      <t>テンキ</t>
    </rPh>
    <rPh sb="69" eb="71">
      <t>ナイヨウジョウホウコウモクフク</t>
    </rPh>
    <phoneticPr fontId="0"/>
  </si>
  <si>
    <t>GR/ID欄の水色セルグループ：このグループは参照文書グループが参照するキーとなる情報項目を含む。すべての取引プロセスが共通で参照する。</t>
    <rPh sb="5" eb="6">
      <t>ラン</t>
    </rPh>
    <rPh sb="7" eb="9">
      <t>ミズイロ</t>
    </rPh>
    <rPh sb="23" eb="27">
      <t>サンショウブンショ</t>
    </rPh>
    <rPh sb="32" eb="34">
      <t>サンショウ</t>
    </rPh>
    <rPh sb="41" eb="45">
      <t>ジョウホウコウモク</t>
    </rPh>
    <rPh sb="46" eb="47">
      <t>フク</t>
    </rPh>
    <rPh sb="53" eb="55">
      <t>トリヒキ</t>
    </rPh>
    <rPh sb="60" eb="62">
      <t>キョウツウ</t>
    </rPh>
    <rPh sb="63" eb="65">
      <t>サンショウ</t>
    </rPh>
    <phoneticPr fontId="0"/>
  </si>
  <si>
    <t>GR/ID欄のピンクセルグループ：「IID」情報項目は受注者の「仕入明細回答」または「請求」の内容を転記。</t>
    <rPh sb="5" eb="6">
      <t>ラン</t>
    </rPh>
    <rPh sb="22" eb="26">
      <t>ジョウホウコウモク</t>
    </rPh>
    <rPh sb="27" eb="30">
      <t>ジュチュウシャセイキュウナイヨウテンキ</t>
    </rPh>
    <phoneticPr fontId="0"/>
  </si>
  <si>
    <t>GR/ID欄の水色セルグループ：「SIID」情報項目は「仕入明細 」の内容を記載。「IID」情報項目は受注者の「仕入明細回答」、または「請求」内容を転記。</t>
    <rPh sb="5" eb="6">
      <t>ラン</t>
    </rPh>
    <rPh sb="7" eb="9">
      <t>ミズイロ</t>
    </rPh>
    <rPh sb="22" eb="26">
      <t>ジョウホウコウモク</t>
    </rPh>
    <rPh sb="28" eb="32">
      <t>シイレメイサイ</t>
    </rPh>
    <rPh sb="35" eb="37">
      <t>ナイヨウ</t>
    </rPh>
    <rPh sb="38" eb="40">
      <t>キサイ</t>
    </rPh>
    <rPh sb="46" eb="50">
      <t>ジョウホウコウモク</t>
    </rPh>
    <rPh sb="51" eb="54">
      <t>ジュチュウシャ</t>
    </rPh>
    <rPh sb="56" eb="60">
      <t>シイレメイサイ</t>
    </rPh>
    <rPh sb="60" eb="62">
      <t>カイトウ</t>
    </rPh>
    <rPh sb="68" eb="70">
      <t>セイキュウ</t>
    </rPh>
    <rPh sb="71" eb="73">
      <t>ナイヨウ</t>
    </rPh>
    <rPh sb="74" eb="76">
      <t>テンキ</t>
    </rPh>
    <phoneticPr fontId="0"/>
  </si>
  <si>
    <t>GR/ID欄の茶色セルグループ：「IID」情報項目は「仕入明細」「仕入明細回答」「請求」で共通に利用する情報項目。</t>
    <rPh sb="5" eb="6">
      <t>ラン</t>
    </rPh>
    <rPh sb="7" eb="9">
      <t>チャイロ</t>
    </rPh>
    <rPh sb="21" eb="25">
      <t>ジョウホウコウモク</t>
    </rPh>
    <rPh sb="27" eb="31">
      <t>シイレメイサイ</t>
    </rPh>
    <rPh sb="33" eb="35">
      <t>シイレ</t>
    </rPh>
    <rPh sb="35" eb="37">
      <t>メイサイ</t>
    </rPh>
    <rPh sb="37" eb="39">
      <t>カイトウ</t>
    </rPh>
    <rPh sb="41" eb="43">
      <t>セイキュウ</t>
    </rPh>
    <rPh sb="45" eb="47">
      <t>キョウツウ</t>
    </rPh>
    <rPh sb="48" eb="50">
      <t>リヨウ</t>
    </rPh>
    <rPh sb="52" eb="56">
      <t>ジョウホウコウモク</t>
    </rPh>
    <phoneticPr fontId="0"/>
  </si>
  <si>
    <t>制定/改定欄の黄色セル：標準ver.4.3で新設、又は改定された情報項目。v4.3と記載。</t>
  </si>
  <si>
    <t>【凡例２】</t>
    <rPh sb="1" eb="3">
      <t>ハンレイ</t>
    </rPh>
    <phoneticPr fontId="0"/>
  </si>
  <si>
    <t>※の数</t>
  </si>
  <si>
    <t>0..1</t>
  </si>
  <si>
    <t>IBT-159</t>
  </si>
  <si>
    <t>BBIE</t>
  </si>
  <si>
    <t>デフォルト
＝JP（日本）</t>
  </si>
  <si>
    <t>ID値
選択入力</t>
  </si>
  <si>
    <t>ISO</t>
  </si>
  <si>
    <t>ISO3166-1:Alpha2</t>
  </si>
  <si>
    <t>UN01005736</t>
  </si>
  <si>
    <t>明細部</t>
  </si>
  <si>
    <t>★</t>
  </si>
  <si>
    <t>＊</t>
  </si>
  <si>
    <t>v4.1</t>
  </si>
  <si>
    <t>この取引品目の原産国を識別する国ID</t>
  </si>
  <si>
    <t>原産国ID</t>
  </si>
  <si>
    <t>SIID403</t>
  </si>
  <si>
    <t>明細行</t>
    <phoneticPr fontId="0"/>
  </si>
  <si>
    <t xml:space="preserve">  </t>
  </si>
  <si>
    <t>ASBIE</t>
  </si>
  <si>
    <t>UN01005827</t>
  </si>
  <si>
    <t xml:space="preserve">  </t>
    <phoneticPr fontId="0"/>
  </si>
  <si>
    <t>0..1</t>
    <phoneticPr fontId="0"/>
  </si>
  <si>
    <t>取引品目の原産地に関するグループ</t>
  </si>
  <si>
    <t>SIGR92</t>
  </si>
  <si>
    <t>1..1</t>
  </si>
  <si>
    <t>IBT-161</t>
  </si>
  <si>
    <t>UN01011457</t>
  </si>
  <si>
    <t>☆</t>
    <phoneticPr fontId="0"/>
  </si>
  <si>
    <t>この取引品目特性の値</t>
  </si>
  <si>
    <t>品目特性値</t>
  </si>
  <si>
    <t>SIID402</t>
  </si>
  <si>
    <t>IBT-160</t>
  </si>
  <si>
    <t>UN01005570</t>
  </si>
  <si>
    <t>この取引品目内容を文字で説明したもの</t>
  </si>
  <si>
    <t>取引品目特性内容</t>
  </si>
  <si>
    <t>SIID401</t>
  </si>
  <si>
    <t>0..n</t>
  </si>
  <si>
    <t>IBG-32</t>
  </si>
  <si>
    <t>UN01005821</t>
  </si>
  <si>
    <t>★</t>
    <phoneticPr fontId="0"/>
  </si>
  <si>
    <t>取引品目の特性に関するグループ</t>
  </si>
  <si>
    <t>SIGR91</t>
  </si>
  <si>
    <t>IBT-158</t>
  </si>
  <si>
    <t xml:space="preserve">　　  </t>
  </si>
  <si>
    <t>UN01005574</t>
  </si>
  <si>
    <t>v4.2</t>
  </si>
  <si>
    <t>この取引品目の分類のID</t>
  </si>
  <si>
    <t>品目分類</t>
  </si>
  <si>
    <t>SIID400</t>
  </si>
  <si>
    <t>明細行</t>
  </si>
  <si>
    <t xml:space="preserve">　  </t>
  </si>
  <si>
    <t>UN01005823</t>
  </si>
  <si>
    <t>取引品目の分類に関するグループ</t>
  </si>
  <si>
    <t>SIGR93</t>
  </si>
  <si>
    <t>True：不定貫品目Fault：定貫品目
デフォルト
＝Fault：定貫品目</t>
  </si>
  <si>
    <t>判別子
選択入力</t>
  </si>
  <si>
    <t>JEC</t>
  </si>
  <si>
    <t>JECxxxx</t>
  </si>
  <si>
    <t>UN01008533</t>
  </si>
  <si>
    <t>●</t>
  </si>
  <si>
    <t>品目数量単位の区分（定貫品目、不定貫品目）の判別子。デフォルトは定貫品目</t>
  </si>
  <si>
    <t>品目数量単位判別子</t>
  </si>
  <si>
    <t>SIID399</t>
  </si>
  <si>
    <t>IBT-154</t>
  </si>
  <si>
    <t>UN01005817</t>
  </si>
  <si>
    <t>★</t>
    <phoneticPr fontId="0"/>
  </si>
  <si>
    <t>―</t>
  </si>
  <si>
    <t>v1</t>
  </si>
  <si>
    <t>品目摘要</t>
  </si>
  <si>
    <t>SIID398</t>
  </si>
  <si>
    <t>IBT-153</t>
  </si>
  <si>
    <t>UN01005815</t>
  </si>
  <si>
    <t>○</t>
  </si>
  <si>
    <t>◎</t>
  </si>
  <si>
    <t>この取引品目の名称。</t>
  </si>
  <si>
    <t>品目名</t>
  </si>
  <si>
    <t>SIID397</t>
  </si>
  <si>
    <t>UN01005814</t>
  </si>
  <si>
    <t>品目を特定するために製造者が付与したID</t>
  </si>
  <si>
    <t>メーカー品目ID</t>
  </si>
  <si>
    <t>SIID396</t>
  </si>
  <si>
    <t>IBT-157</t>
  </si>
  <si>
    <t>UN01005813</t>
  </si>
  <si>
    <t>発注者が品目を特定するために付与したID</t>
  </si>
  <si>
    <t>発注者品目ID</t>
  </si>
  <si>
    <t>SIID395</t>
  </si>
  <si>
    <t>IBT-156</t>
  </si>
  <si>
    <t>UN01005812</t>
  </si>
  <si>
    <t>受注者が品目を特定するために付与したID</t>
  </si>
  <si>
    <t>受注者品目ID</t>
  </si>
  <si>
    <t>SIID394</t>
  </si>
  <si>
    <t>ISO/IEC 6523</t>
  </si>
  <si>
    <t>UN01005811</t>
  </si>
  <si>
    <t>GTIN、JANIDなどの国際的に登録された品目ID</t>
  </si>
  <si>
    <t>グローバル品目ID</t>
  </si>
  <si>
    <t>SIID393</t>
  </si>
  <si>
    <t xml:space="preserve"> </t>
  </si>
  <si>
    <t>UN01005810</t>
  </si>
  <si>
    <t>品目名を特定するために付与したID</t>
  </si>
  <si>
    <t>品目ID</t>
  </si>
  <si>
    <t>SIID392</t>
  </si>
  <si>
    <t>IBG-31</t>
  </si>
  <si>
    <t>UN01010016</t>
  </si>
  <si>
    <t xml:space="preserve"> ☆</t>
    <phoneticPr fontId="0"/>
  </si>
  <si>
    <t>取引品目に関する情報からなるグループ。</t>
  </si>
  <si>
    <t>SIGR90</t>
  </si>
  <si>
    <t>IBT-133</t>
  </si>
  <si>
    <t>UN01005685</t>
  </si>
  <si>
    <t>▽</t>
    <phoneticPr fontId="0"/>
  </si>
  <si>
    <t>明細行ヘッダ会計アカウントの名称</t>
    <rPh sb="2" eb="3">
      <t>ギョウ</t>
    </rPh>
    <rPh sb="6" eb="8">
      <t>カイケイ</t>
    </rPh>
    <rPh sb="14" eb="16">
      <t>メイショウ</t>
    </rPh>
    <phoneticPr fontId="0"/>
  </si>
  <si>
    <t>明細行ヘッダ会計アカウント名</t>
    <rPh sb="2" eb="3">
      <t>ギョウ</t>
    </rPh>
    <rPh sb="6" eb="8">
      <t>カイケイ</t>
    </rPh>
    <rPh sb="13" eb="14">
      <t>メイ</t>
    </rPh>
    <phoneticPr fontId="0"/>
  </si>
  <si>
    <t>SIID437</t>
  </si>
  <si>
    <t>UN01005683</t>
  </si>
  <si>
    <t>明細行ヘッダ会計アカウントのタイプコード</t>
    <rPh sb="2" eb="3">
      <t>ギョウ</t>
    </rPh>
    <rPh sb="6" eb="8">
      <t>カイケイ</t>
    </rPh>
    <phoneticPr fontId="0"/>
  </si>
  <si>
    <t>明細行ヘッダ会計アカウントタイプコード</t>
    <rPh sb="2" eb="3">
      <t>ギョウ</t>
    </rPh>
    <rPh sb="6" eb="8">
      <t>カイケイ</t>
    </rPh>
    <phoneticPr fontId="0"/>
  </si>
  <si>
    <t>SIID436</t>
  </si>
  <si>
    <t>ID値
選択入力</t>
    <phoneticPr fontId="0"/>
  </si>
  <si>
    <t>国税庁</t>
    <rPh sb="0" eb="3">
      <t>コクゼイチョウ</t>
    </rPh>
    <phoneticPr fontId="0"/>
  </si>
  <si>
    <t>UN01005681</t>
    <phoneticPr fontId="0"/>
  </si>
  <si>
    <t>ヘッダ部</t>
  </si>
  <si>
    <t>v4.3</t>
    <phoneticPr fontId="0"/>
  </si>
  <si>
    <t>1..1</t>
    <phoneticPr fontId="0"/>
  </si>
  <si>
    <t>明細行ヘッダ会計アカウントのID</t>
    <rPh sb="2" eb="3">
      <t>ギョウ</t>
    </rPh>
    <rPh sb="6" eb="8">
      <t>カイケイ</t>
    </rPh>
    <phoneticPr fontId="0"/>
  </si>
  <si>
    <t>明細行ヘッダ会計アカウントID</t>
    <rPh sb="2" eb="3">
      <t>ギョウ</t>
    </rPh>
    <rPh sb="6" eb="8">
      <t>カイケイ</t>
    </rPh>
    <phoneticPr fontId="0"/>
  </si>
  <si>
    <t>SIID435</t>
  </si>
  <si>
    <t>明細行</t>
    <rPh sb="0" eb="3">
      <t>メイサイギョウ</t>
    </rPh>
    <phoneticPr fontId="0"/>
  </si>
  <si>
    <t>　</t>
  </si>
  <si>
    <t>UN01015534</t>
  </si>
  <si>
    <t>●</t>
    <phoneticPr fontId="0"/>
  </si>
  <si>
    <t>明細行ヘッダの会計アカウントに関するグループ</t>
    <rPh sb="0" eb="2">
      <t>メイサイ</t>
    </rPh>
    <rPh sb="2" eb="3">
      <t>ギョウ</t>
    </rPh>
    <phoneticPr fontId="0"/>
  </si>
  <si>
    <t>明細行ヘッダ会計アカウントグループ</t>
    <rPh sb="0" eb="2">
      <t>メイサイ</t>
    </rPh>
    <rPh sb="2" eb="3">
      <t>ギョウ</t>
    </rPh>
    <rPh sb="6" eb="8">
      <t>カイケイ</t>
    </rPh>
    <phoneticPr fontId="0"/>
  </si>
  <si>
    <t>SIGR99</t>
  </si>
  <si>
    <t>IBT-135</t>
  </si>
  <si>
    <t>YYYY-MM-DD</t>
  </si>
  <si>
    <t>UN01005613</t>
  </si>
  <si>
    <t>（◎）</t>
    <phoneticPr fontId="0"/>
  </si>
  <si>
    <t>v4</t>
  </si>
  <si>
    <t>この明細行の取引終了日.。</t>
    <rPh sb="2" eb="4">
      <t>メイサイ</t>
    </rPh>
    <rPh sb="4" eb="5">
      <t>ギョウ</t>
    </rPh>
    <rPh sb="6" eb="8">
      <t>トリヒキ</t>
    </rPh>
    <rPh sb="8" eb="11">
      <t>シュウリョウビ</t>
    </rPh>
    <phoneticPr fontId="0"/>
  </si>
  <si>
    <t>明細行取引終了日</t>
  </si>
  <si>
    <t>IID389</t>
  </si>
  <si>
    <t>IBT-134</t>
  </si>
  <si>
    <t>UN01005612</t>
  </si>
  <si>
    <t>この明細行の取引開始日</t>
    <rPh sb="2" eb="4">
      <t>メイサイ</t>
    </rPh>
    <rPh sb="4" eb="5">
      <t>ギョウ</t>
    </rPh>
    <rPh sb="6" eb="8">
      <t>トリヒキ</t>
    </rPh>
    <rPh sb="8" eb="11">
      <t>カイシビ</t>
    </rPh>
    <phoneticPr fontId="0"/>
  </si>
  <si>
    <t>明細行取引開始日</t>
  </si>
  <si>
    <t>IID388</t>
    <phoneticPr fontId="0"/>
  </si>
  <si>
    <t>IBG-26</t>
  </si>
  <si>
    <t>UN01014894</t>
  </si>
  <si>
    <t>明細行の取引期間に関する情報からなるグループ
文書ヘッダまたは明細行のいずれかの取引期間データが法的必須
文書ヘッダ取引期間グループのデータ入力が無い場合は、すべての明細行取引期間グループにデータ入力しなければならない。</t>
    <rPh sb="0" eb="3">
      <t>メイサイギョウ</t>
    </rPh>
    <rPh sb="4" eb="6">
      <t>トリヒキ</t>
    </rPh>
    <rPh sb="6" eb="8">
      <t>キカン</t>
    </rPh>
    <rPh sb="12" eb="14">
      <t>ジョウホウ</t>
    </rPh>
    <rPh sb="48" eb="50">
      <t>ホウテキ</t>
    </rPh>
    <phoneticPr fontId="0"/>
  </si>
  <si>
    <t>IGR97</t>
    <phoneticPr fontId="0"/>
  </si>
  <si>
    <t>UN01005841</t>
  </si>
  <si>
    <t>税率</t>
  </si>
  <si>
    <t>UN/CEFACT</t>
  </si>
  <si>
    <t>UNCL5305</t>
  </si>
  <si>
    <t>課税分類コード</t>
  </si>
  <si>
    <t>UNCL5153</t>
  </si>
  <si>
    <t>UN01005834</t>
  </si>
  <si>
    <t>税の種類を識別するコード。</t>
  </si>
  <si>
    <t>UN01014897</t>
  </si>
  <si>
    <t>IBT-142</t>
  </si>
  <si>
    <t>UN01008286</t>
  </si>
  <si>
    <t>この明細行追加請求の計算根拠となる金額</t>
  </si>
  <si>
    <t>明細行追加請求計算根拠金額</t>
  </si>
  <si>
    <t>SIID384</t>
  </si>
  <si>
    <t>IBT-144</t>
  </si>
  <si>
    <t>UN01005715</t>
  </si>
  <si>
    <t>この明細行の追加請求理由（内容）の説明</t>
  </si>
  <si>
    <t>明細行追加請求理由</t>
  </si>
  <si>
    <t>SIID383</t>
  </si>
  <si>
    <t>IBT-145</t>
  </si>
  <si>
    <t>UNCL5189</t>
  </si>
  <si>
    <t>UN01005714</t>
  </si>
  <si>
    <t>この明細行の追加請求理由を識別するコード</t>
  </si>
  <si>
    <t>明細行追加請求理由コード</t>
  </si>
  <si>
    <t>SIID382</t>
  </si>
  <si>
    <t>IBT-141</t>
  </si>
  <si>
    <t>UN01005713</t>
  </si>
  <si>
    <t>☆</t>
    <phoneticPr fontId="0"/>
  </si>
  <si>
    <t>この明細行に紐付く追加請求金額。</t>
    <rPh sb="6" eb="8">
      <t>ヒモツ</t>
    </rPh>
    <rPh sb="9" eb="13">
      <t>ツイカセイキュウ</t>
    </rPh>
    <phoneticPr fontId="0"/>
  </si>
  <si>
    <t>明細行追加請求金額</t>
  </si>
  <si>
    <t>SIID381</t>
  </si>
  <si>
    <t>IBT-143</t>
  </si>
  <si>
    <t>UN01005710</t>
  </si>
  <si>
    <t>この明細行追加請求を計算するための率</t>
  </si>
  <si>
    <t>明細行追加請求計算率</t>
  </si>
  <si>
    <t>SIID380</t>
  </si>
  <si>
    <t>True（Charge）</t>
  </si>
  <si>
    <t>判別子
固定入力</t>
  </si>
  <si>
    <t>UN01005707</t>
  </si>
  <si>
    <t>明細行返金・追加請求判別子
    =返金（Fault）</t>
  </si>
  <si>
    <t>SIID379</t>
  </si>
  <si>
    <t>IBG-28</t>
  </si>
  <si>
    <t>UN01014644</t>
  </si>
  <si>
    <t xml:space="preserve">★ </t>
  </si>
  <si>
    <t>明細行追加請求グループ</t>
  </si>
  <si>
    <t>SIGR86</t>
  </si>
  <si>
    <t>IBT-137</t>
  </si>
  <si>
    <t>明細行返金計算根拠金額</t>
  </si>
  <si>
    <t>SIID378</t>
  </si>
  <si>
    <t>IBT-139</t>
  </si>
  <si>
    <t>明細行返金理由</t>
  </si>
  <si>
    <t>SIID377</t>
  </si>
  <si>
    <t>IBT-140</t>
  </si>
  <si>
    <t>明細行返金理由コード</t>
  </si>
  <si>
    <t>SIID376</t>
  </si>
  <si>
    <t>IBT-136</t>
  </si>
  <si>
    <t>明細行に紐付く返金金額</t>
    <rPh sb="0" eb="3">
      <t>メイサイギョウ</t>
    </rPh>
    <rPh sb="4" eb="6">
      <t>ヒモツ</t>
    </rPh>
    <rPh sb="9" eb="11">
      <t>キンガク</t>
    </rPh>
    <phoneticPr fontId="0"/>
  </si>
  <si>
    <t>明細行返金金額</t>
  </si>
  <si>
    <t>SIID375</t>
  </si>
  <si>
    <t>IBT-138</t>
  </si>
  <si>
    <t>明細行返金計算率</t>
  </si>
  <si>
    <t>SIID374</t>
  </si>
  <si>
    <t>Fault（Allowance）</t>
  </si>
  <si>
    <t>SIID373</t>
  </si>
  <si>
    <t>IBG-27</t>
  </si>
  <si>
    <t xml:space="preserve">★ </t>
    <phoneticPr fontId="0"/>
  </si>
  <si>
    <t>明細行返金のグループ</t>
  </si>
  <si>
    <t>SIGR85</t>
  </si>
  <si>
    <r>
      <rPr>
        <sz val="11"/>
        <color rgb="FFFF0000"/>
        <rFont val="ＭＳ ゴシック"/>
        <family val="3"/>
        <charset val="128"/>
      </rPr>
      <t>UN01005834</t>
    </r>
    <r>
      <rPr>
        <strike/>
        <sz val="11"/>
        <color rgb="FFFF0000"/>
        <rFont val="ＭＳ ゴシック"/>
        <family val="3"/>
        <charset val="128"/>
      </rPr>
      <t>　UN01005836</t>
    </r>
  </si>
  <si>
    <t>明細部</t>
    <rPh sb="0" eb="2">
      <t>メイサイ</t>
    </rPh>
    <rPh sb="2" eb="3">
      <t>ブ</t>
    </rPh>
    <phoneticPr fontId="0"/>
  </si>
  <si>
    <t>■</t>
  </si>
  <si>
    <t>v4.3</t>
  </si>
  <si>
    <t>税の種類を識別するコード
'=SWT(源泉所得税 )</t>
    <rPh sb="0" eb="1">
      <t>ゼイ</t>
    </rPh>
    <rPh sb="2" eb="4">
      <t>シュルイ</t>
    </rPh>
    <rPh sb="5" eb="7">
      <t>シキベツ</t>
    </rPh>
    <rPh sb="19" eb="24">
      <t>ゲンセンショトクゼイ</t>
    </rPh>
    <phoneticPr fontId="0"/>
  </si>
  <si>
    <t>明細行調整税（源泉所得税）タイプコード</t>
    <rPh sb="0" eb="3">
      <t>メイサイギョウ</t>
    </rPh>
    <rPh sb="3" eb="5">
      <t>チョウセイ</t>
    </rPh>
    <phoneticPr fontId="0"/>
  </si>
  <si>
    <t>SIID428</t>
  </si>
  <si>
    <t>ASBIE</t>
    <phoneticPr fontId="0"/>
  </si>
  <si>
    <t>調整明細行の税率別税グループ（源泉所得税）</t>
    <rPh sb="0" eb="2">
      <t>チョウセイ</t>
    </rPh>
    <rPh sb="2" eb="4">
      <t>メイサイ</t>
    </rPh>
    <rPh sb="4" eb="5">
      <t>ギョウ</t>
    </rPh>
    <rPh sb="6" eb="8">
      <t>ゼイリツ</t>
    </rPh>
    <rPh sb="8" eb="9">
      <t>ベツ</t>
    </rPh>
    <rPh sb="15" eb="20">
      <t>ゲンセンショトクゼイ</t>
    </rPh>
    <phoneticPr fontId="0"/>
  </si>
  <si>
    <t>明細行調整／調整税（源泉所得税）グループ</t>
    <rPh sb="0" eb="3">
      <t>メイサイギョウ</t>
    </rPh>
    <rPh sb="3" eb="5">
      <t>チョウセイ</t>
    </rPh>
    <rPh sb="6" eb="8">
      <t>チョウセイ</t>
    </rPh>
    <rPh sb="8" eb="9">
      <t>ゼイ</t>
    </rPh>
    <phoneticPr fontId="0"/>
  </si>
  <si>
    <t>SIGR102</t>
  </si>
  <si>
    <t>UN01005490</t>
  </si>
  <si>
    <t>この明細行の調整金額
＜調整理由コード＝62＞
'=源泉所得税金額</t>
    <rPh sb="2" eb="5">
      <t>メイサイギョウ</t>
    </rPh>
    <rPh sb="8" eb="10">
      <t>キンガク</t>
    </rPh>
    <rPh sb="12" eb="16">
      <t>チョウセイリユウ</t>
    </rPh>
    <rPh sb="26" eb="31">
      <t>ゲンセンショトクゼイ</t>
    </rPh>
    <rPh sb="31" eb="33">
      <t>キンガク</t>
    </rPh>
    <phoneticPr fontId="0"/>
  </si>
  <si>
    <t>明細行調整金額（源泉所得税）</t>
    <rPh sb="2" eb="3">
      <t>ギョウ</t>
    </rPh>
    <rPh sb="3" eb="5">
      <t>チョウセイ</t>
    </rPh>
    <rPh sb="5" eb="7">
      <t>キンガク</t>
    </rPh>
    <phoneticPr fontId="0"/>
  </si>
  <si>
    <t>SIID427</t>
  </si>
  <si>
    <t>UN01005489</t>
  </si>
  <si>
    <t>この明細行の調整理由を文字で表現した内容</t>
    <rPh sb="2" eb="5">
      <t>メイサイギョウ</t>
    </rPh>
    <phoneticPr fontId="0"/>
  </si>
  <si>
    <t>明細行調整理由（源泉所得税）</t>
    <rPh sb="2" eb="3">
      <t>ギョウ</t>
    </rPh>
    <rPh sb="3" eb="5">
      <t>チョウセイ</t>
    </rPh>
    <rPh sb="5" eb="7">
      <t>リユウ</t>
    </rPh>
    <phoneticPr fontId="0"/>
  </si>
  <si>
    <t>SIID426</t>
  </si>
  <si>
    <t>=26</t>
  </si>
  <si>
    <t>属性コード値
固定入力</t>
    <rPh sb="0" eb="2">
      <t>ゾクセイ</t>
    </rPh>
    <rPh sb="5" eb="6">
      <t>チ</t>
    </rPh>
    <rPh sb="7" eb="9">
      <t>コテイ</t>
    </rPh>
    <rPh sb="9" eb="11">
      <t>ニュウリョク</t>
    </rPh>
    <phoneticPr fontId="0"/>
  </si>
  <si>
    <t>UNCL4465</t>
  </si>
  <si>
    <t>UN01005488</t>
  </si>
  <si>
    <t>この明細行の調整理由を示す識別コード
'=62(源泉所得税)</t>
    <rPh sb="2" eb="5">
      <t>メイサイギョウ</t>
    </rPh>
    <rPh sb="6" eb="8">
      <t>チョウセイ</t>
    </rPh>
    <rPh sb="8" eb="10">
      <t>リユウ</t>
    </rPh>
    <rPh sb="11" eb="12">
      <t>シメ</t>
    </rPh>
    <rPh sb="13" eb="15">
      <t>シキベツ</t>
    </rPh>
    <rPh sb="24" eb="29">
      <t>ゲンセンショトクゼイ</t>
    </rPh>
    <phoneticPr fontId="0"/>
  </si>
  <si>
    <t>明細行調整理由コード（源泉所得税）</t>
    <rPh sb="0" eb="3">
      <t>メイサイギョウ</t>
    </rPh>
    <rPh sb="3" eb="5">
      <t>チョウセイ</t>
    </rPh>
    <rPh sb="5" eb="7">
      <t>リユウ</t>
    </rPh>
    <rPh sb="11" eb="16">
      <t>ゲンセンショトクゼイ</t>
    </rPh>
    <phoneticPr fontId="0"/>
  </si>
  <si>
    <t>SIID425</t>
  </si>
  <si>
    <t>UN01014643</t>
  </si>
  <si>
    <t>0..n</t>
    <phoneticPr fontId="0"/>
  </si>
  <si>
    <t>明細行の調整（源泉所得税）に関する情報からなるグループ</t>
    <rPh sb="0" eb="3">
      <t>メイサイギョウ</t>
    </rPh>
    <rPh sb="4" eb="6">
      <t>チョウセイ</t>
    </rPh>
    <rPh sb="7" eb="12">
      <t>ゲンセンショトクゼイ</t>
    </rPh>
    <phoneticPr fontId="0"/>
  </si>
  <si>
    <t>明細行調整グループ（源泉所得税）</t>
    <phoneticPr fontId="0"/>
  </si>
  <si>
    <t>SIGR88</t>
  </si>
  <si>
    <t>UN01005492</t>
  </si>
  <si>
    <t>▶</t>
    <phoneticPr fontId="0"/>
  </si>
  <si>
    <t>この明細行の調整実施日（出金）</t>
    <rPh sb="2" eb="5">
      <t>メイサイギョウ</t>
    </rPh>
    <rPh sb="6" eb="8">
      <t>チョウセイ</t>
    </rPh>
    <rPh sb="8" eb="10">
      <t>ジッシ</t>
    </rPh>
    <rPh sb="10" eb="11">
      <t>ビ</t>
    </rPh>
    <rPh sb="12" eb="13">
      <t>シュツ</t>
    </rPh>
    <phoneticPr fontId="0"/>
  </si>
  <si>
    <t>明細行調整実施日（出金）</t>
    <rPh sb="0" eb="3">
      <t>メイサイギョウ</t>
    </rPh>
    <rPh sb="3" eb="5">
      <t>チョウセイ</t>
    </rPh>
    <rPh sb="5" eb="8">
      <t>ジッシビ</t>
    </rPh>
    <rPh sb="9" eb="10">
      <t>シュツ</t>
    </rPh>
    <phoneticPr fontId="0"/>
  </si>
  <si>
    <t>IID505</t>
    <phoneticPr fontId="0"/>
  </si>
  <si>
    <t>この明細行の調整金額
＜調整理由コード＝30＞
'=出金金額</t>
    <rPh sb="2" eb="5">
      <t>メイサイギョウ</t>
    </rPh>
    <rPh sb="8" eb="10">
      <t>キンガク</t>
    </rPh>
    <rPh sb="12" eb="16">
      <t>チョウセイリユウ</t>
    </rPh>
    <rPh sb="28" eb="30">
      <t>キンガク</t>
    </rPh>
    <phoneticPr fontId="0"/>
  </si>
  <si>
    <t>明細行調整金額（出金）</t>
    <rPh sb="2" eb="3">
      <t>ギョウ</t>
    </rPh>
    <rPh sb="3" eb="5">
      <t>チョウセイ</t>
    </rPh>
    <rPh sb="5" eb="7">
      <t>キンガク</t>
    </rPh>
    <phoneticPr fontId="0"/>
  </si>
  <si>
    <t>SIID431</t>
  </si>
  <si>
    <t>明細行調整理由（出金）</t>
    <rPh sb="2" eb="3">
      <t>ギョウ</t>
    </rPh>
    <rPh sb="3" eb="5">
      <t>チョウセイ</t>
    </rPh>
    <rPh sb="5" eb="7">
      <t>リユウ</t>
    </rPh>
    <phoneticPr fontId="0"/>
  </si>
  <si>
    <t>SIID430</t>
  </si>
  <si>
    <t>=30</t>
  </si>
  <si>
    <t>この明細行の調整理由を示す識別コード
'=30(出金)</t>
    <rPh sb="2" eb="5">
      <t>メイサイギョウ</t>
    </rPh>
    <rPh sb="6" eb="8">
      <t>チョウセイ</t>
    </rPh>
    <rPh sb="8" eb="10">
      <t>リユウ</t>
    </rPh>
    <rPh sb="11" eb="12">
      <t>シメ</t>
    </rPh>
    <rPh sb="13" eb="15">
      <t>シキベツ</t>
    </rPh>
    <phoneticPr fontId="0"/>
  </si>
  <si>
    <t>明細行調整理由コード（出金）</t>
    <rPh sb="0" eb="3">
      <t>メイサイギョウ</t>
    </rPh>
    <rPh sb="3" eb="5">
      <t>チョウセイ</t>
    </rPh>
    <rPh sb="5" eb="7">
      <t>リユウ</t>
    </rPh>
    <phoneticPr fontId="0"/>
  </si>
  <si>
    <t>SIID429</t>
  </si>
  <si>
    <t>明細行の調整（出金）に関する情報からなるグループ</t>
    <rPh sb="0" eb="3">
      <t>メイサイギョウ</t>
    </rPh>
    <rPh sb="4" eb="6">
      <t>チョウセイ</t>
    </rPh>
    <phoneticPr fontId="0"/>
  </si>
  <si>
    <t>SIGR103</t>
  </si>
  <si>
    <t>▼</t>
  </si>
  <si>
    <t>調整明細行の税率</t>
    <rPh sb="4" eb="5">
      <t>ギョウ</t>
    </rPh>
    <rPh sb="5" eb="7">
      <t>チョウセイゼイリツ</t>
    </rPh>
    <phoneticPr fontId="0"/>
  </si>
  <si>
    <t>明細行調整税率（修正差額調整）</t>
    <rPh sb="0" eb="2">
      <t>メイサイ</t>
    </rPh>
    <rPh sb="2" eb="3">
      <t>ギョウ</t>
    </rPh>
    <rPh sb="3" eb="5">
      <t>チョウセイ</t>
    </rPh>
    <rPh sb="5" eb="7">
      <t>ゼイリツ</t>
    </rPh>
    <phoneticPr fontId="0"/>
  </si>
  <si>
    <t>SIID420</t>
  </si>
  <si>
    <t>デフォルト
＝S（標準税率）</t>
    <rPh sb="9" eb="11">
      <t>ヒョウジュン</t>
    </rPh>
    <rPh sb="11" eb="13">
      <t>ゼイリツ</t>
    </rPh>
    <phoneticPr fontId="0"/>
  </si>
  <si>
    <t>コード値
選択入力</t>
    <rPh sb="3" eb="4">
      <t>チ</t>
    </rPh>
    <rPh sb="5" eb="7">
      <t>センタク</t>
    </rPh>
    <rPh sb="7" eb="9">
      <t>ニュウリョク</t>
    </rPh>
    <phoneticPr fontId="0"/>
  </si>
  <si>
    <t>UN01005836</t>
  </si>
  <si>
    <t>調整明細行の課税分類コード</t>
  </si>
  <si>
    <t>明細行調整課税分類コード（修正差額調整）</t>
    <rPh sb="0" eb="3">
      <t>メイサイギョウ</t>
    </rPh>
    <rPh sb="3" eb="5">
      <t>チョウセイ</t>
    </rPh>
    <rPh sb="5" eb="9">
      <t>カゼイブンルイ</t>
    </rPh>
    <phoneticPr fontId="0"/>
  </si>
  <si>
    <t>SIID419</t>
  </si>
  <si>
    <t>UN01014897</t>
    <phoneticPr fontId="0"/>
  </si>
  <si>
    <t>調整明細行の税率別税（修正差額調整）グループ</t>
    <rPh sb="0" eb="2">
      <t>チョウセイ</t>
    </rPh>
    <rPh sb="2" eb="4">
      <t>メイサイ</t>
    </rPh>
    <rPh sb="4" eb="5">
      <t>ギョウ</t>
    </rPh>
    <rPh sb="6" eb="8">
      <t>ゼイリツ</t>
    </rPh>
    <rPh sb="8" eb="9">
      <t>ベツ</t>
    </rPh>
    <rPh sb="11" eb="17">
      <t>シュウセイサガクチョウセイ</t>
    </rPh>
    <phoneticPr fontId="0"/>
  </si>
  <si>
    <t>明細行調整／調整税（修正差額調整）グループ</t>
    <rPh sb="0" eb="3">
      <t>メイサイギョウ</t>
    </rPh>
    <rPh sb="3" eb="5">
      <t>チョウセイ</t>
    </rPh>
    <rPh sb="6" eb="8">
      <t>チョウセイ</t>
    </rPh>
    <rPh sb="8" eb="9">
      <t>ゼイ</t>
    </rPh>
    <rPh sb="10" eb="16">
      <t>シュウセイサガクチョウセイ</t>
    </rPh>
    <phoneticPr fontId="0"/>
  </si>
  <si>
    <t>SIGR89</t>
  </si>
  <si>
    <t>この明細行の調整金額
＜調整理由コード＝62＞
'=修正差額調整金額</t>
    <rPh sb="2" eb="5">
      <t>メイサイギョウ</t>
    </rPh>
    <rPh sb="8" eb="10">
      <t>キンガク</t>
    </rPh>
    <rPh sb="12" eb="16">
      <t>チョウセイリユウ</t>
    </rPh>
    <rPh sb="26" eb="28">
      <t>シュウセイ</t>
    </rPh>
    <rPh sb="28" eb="32">
      <t>サガクチョウセイ</t>
    </rPh>
    <rPh sb="32" eb="34">
      <t>キンガク</t>
    </rPh>
    <phoneticPr fontId="0"/>
  </si>
  <si>
    <t>明細行調整金額（修正差額調整）</t>
    <rPh sb="2" eb="3">
      <t>ギョウ</t>
    </rPh>
    <rPh sb="3" eb="5">
      <t>チョウセイ</t>
    </rPh>
    <rPh sb="5" eb="7">
      <t>キンガク</t>
    </rPh>
    <phoneticPr fontId="0"/>
  </si>
  <si>
    <t>SIID387</t>
  </si>
  <si>
    <t>明細行調整理由（修正差額調整）</t>
    <rPh sb="2" eb="3">
      <t>ギョウ</t>
    </rPh>
    <rPh sb="3" eb="5">
      <t>チョウセイ</t>
    </rPh>
    <rPh sb="5" eb="7">
      <t>リユウ</t>
    </rPh>
    <phoneticPr fontId="0"/>
  </si>
  <si>
    <t>SIID386</t>
  </si>
  <si>
    <t>=62</t>
  </si>
  <si>
    <t>この明細行の調整理由を示す識別コード
'=62(修正差額調整)</t>
    <rPh sb="2" eb="5">
      <t>メイサイギョウ</t>
    </rPh>
    <rPh sb="6" eb="8">
      <t>チョウセイ</t>
    </rPh>
    <rPh sb="8" eb="10">
      <t>リユウ</t>
    </rPh>
    <rPh sb="11" eb="12">
      <t>シメ</t>
    </rPh>
    <rPh sb="13" eb="15">
      <t>シキベツ</t>
    </rPh>
    <rPh sb="24" eb="28">
      <t>シュウセイサガク</t>
    </rPh>
    <rPh sb="28" eb="30">
      <t>チョウセイ</t>
    </rPh>
    <phoneticPr fontId="0"/>
  </si>
  <si>
    <t>明細行調整理由コード（修正差額調整）</t>
    <rPh sb="0" eb="3">
      <t>メイサイギョウ</t>
    </rPh>
    <rPh sb="3" eb="5">
      <t>チョウセイ</t>
    </rPh>
    <rPh sb="5" eb="7">
      <t>リユウ</t>
    </rPh>
    <rPh sb="11" eb="13">
      <t>シュウセイ</t>
    </rPh>
    <rPh sb="13" eb="15">
      <t>サガク</t>
    </rPh>
    <rPh sb="15" eb="17">
      <t>チョウセイ</t>
    </rPh>
    <phoneticPr fontId="0"/>
  </si>
  <si>
    <t>SIID385</t>
  </si>
  <si>
    <t>明細行の調整（修正差額調整）に関する情報からなるグループ</t>
    <rPh sb="0" eb="3">
      <t>メイサイギョウ</t>
    </rPh>
    <rPh sb="4" eb="6">
      <t>チョウセイ</t>
    </rPh>
    <rPh sb="7" eb="13">
      <t>シュウセイサガクチョウセイ</t>
    </rPh>
    <phoneticPr fontId="0"/>
  </si>
  <si>
    <t>SIGR87</t>
  </si>
  <si>
    <t>JEC</t>
    <phoneticPr fontId="0"/>
  </si>
  <si>
    <t>JECxxxx</t>
    <phoneticPr fontId="0"/>
  </si>
  <si>
    <t>UN01014899</t>
  </si>
  <si>
    <t>この明細行が参照する文書の文書サブタイプコード</t>
  </si>
  <si>
    <t>（明細行参照）文書サブタイプコード</t>
  </si>
  <si>
    <t>SIID372</t>
  </si>
  <si>
    <t>UNCL1001</t>
  </si>
  <si>
    <t>UN01009672</t>
  </si>
  <si>
    <t>この明細行が参照する文書タイプを識別するコード</t>
  </si>
  <si>
    <t>（明細行参照）文書タイプコード</t>
  </si>
  <si>
    <t>SIID370</t>
  </si>
  <si>
    <t>UN01005588</t>
  </si>
  <si>
    <t>この明細行が参照するインボイス対象物の変更履歴を管理するID。</t>
  </si>
  <si>
    <t>（明細行参照）インボイス対象物履歴ID</t>
  </si>
  <si>
    <t>SIID369</t>
  </si>
  <si>
    <t>ユーザー選択指定</t>
  </si>
  <si>
    <t xml:space="preserve">
コード値
選択入力
</t>
  </si>
  <si>
    <t>UNCL1153</t>
  </si>
  <si>
    <t>UN01005586</t>
  </si>
  <si>
    <t>この明細行が参照する文書の参照タイプを識別するコード。</t>
  </si>
  <si>
    <t>（明細行参照）文書参照タイプコード</t>
  </si>
  <si>
    <t>SIID368</t>
  </si>
  <si>
    <t>UN01005585</t>
  </si>
  <si>
    <t>この明細行が参照するインボイス対象物の明細行ID</t>
  </si>
  <si>
    <t>（明細行参照）インボイス対象物明細行ID</t>
  </si>
  <si>
    <t>SIID367</t>
  </si>
  <si>
    <t>UN01005582</t>
  </si>
  <si>
    <t>この明細行が参照するインボイス対象物の発行日</t>
  </si>
  <si>
    <t>（明細行参照）インボイス対象物発行日</t>
  </si>
  <si>
    <t>SIID366</t>
  </si>
  <si>
    <t>IBT-128</t>
  </si>
  <si>
    <t>UN01005580</t>
  </si>
  <si>
    <t>この明細行が参照するインボイス対象物のID</t>
  </si>
  <si>
    <t>（明細行参照）インボイス対象物ID</t>
  </si>
  <si>
    <t>SIID365</t>
  </si>
  <si>
    <t>UN01014642</t>
  </si>
  <si>
    <t>明細行が参照するインボイス対象物グループ
　</t>
  </si>
  <si>
    <t>SIGR84</t>
  </si>
  <si>
    <t>UN01014650</t>
  </si>
  <si>
    <t>この明細行取引の税制年度を識別するID
デフォルトは「2019」（2019年度税制）</t>
  </si>
  <si>
    <t>明細行適用税制ID</t>
  </si>
  <si>
    <t>SIID364</t>
  </si>
  <si>
    <t>UN01013040</t>
  </si>
  <si>
    <t>（○）</t>
  </si>
  <si>
    <t>v2</t>
  </si>
  <si>
    <t>この明細行の税額を含む譲渡資産金額＋明細行追加請求金額（税込み）ー明細行返金金額（税込み）</t>
  </si>
  <si>
    <t>明細行譲渡資産金額(税込み)</t>
  </si>
  <si>
    <t>SIID363</t>
  </si>
  <si>
    <t>IBT-152</t>
  </si>
  <si>
    <t>UN01007174</t>
  </si>
  <si>
    <t>v1/v2</t>
  </si>
  <si>
    <t>この明細行の税率。
2014年度税制の場合は、明細行課税分類コードと組み合わせて利用する。</t>
  </si>
  <si>
    <t>明細行税率</t>
  </si>
  <si>
    <t>SIID362</t>
  </si>
  <si>
    <t>UN01005850</t>
  </si>
  <si>
    <t>消費税の課税分類（標準税率、軽減税率、不課税、非課税、免税等）の名称
または軽減税率表示※など</t>
    <rPh sb="0" eb="3">
      <t>ショウヒゼイ</t>
    </rPh>
    <rPh sb="4" eb="6">
      <t>カゼイ</t>
    </rPh>
    <rPh sb="6" eb="8">
      <t>ブンルイ</t>
    </rPh>
    <rPh sb="9" eb="13">
      <t>ヒョウジュンゼイリツ</t>
    </rPh>
    <rPh sb="14" eb="18">
      <t>ケイゲンゼイリツ</t>
    </rPh>
    <rPh sb="19" eb="22">
      <t>フカゼイ</t>
    </rPh>
    <rPh sb="23" eb="26">
      <t>ヒカゼイ</t>
    </rPh>
    <rPh sb="27" eb="29">
      <t>メンゼイ</t>
    </rPh>
    <rPh sb="29" eb="30">
      <t>トウ</t>
    </rPh>
    <rPh sb="32" eb="34">
      <t>メイショウ</t>
    </rPh>
    <rPh sb="38" eb="40">
      <t>ケイゲン</t>
    </rPh>
    <rPh sb="40" eb="42">
      <t>ゼイリツ</t>
    </rPh>
    <rPh sb="42" eb="44">
      <t>ヒョウジ</t>
    </rPh>
    <phoneticPr fontId="0"/>
  </si>
  <si>
    <t>明細行課税分類名</t>
  </si>
  <si>
    <t>SIID361</t>
  </si>
  <si>
    <t>IBT-151</t>
  </si>
  <si>
    <t>デフォルト
＝S（標準税率）</t>
  </si>
  <si>
    <t>この明細行の消費税の課税分類（標準税率、軽減税率、不課税、非課税、免税等）を識別するコード</t>
  </si>
  <si>
    <t>明細行課税分類コード</t>
  </si>
  <si>
    <t>SIID360</t>
  </si>
  <si>
    <t>明細行</t>
    <phoneticPr fontId="0"/>
  </si>
  <si>
    <t>IBT-131</t>
  </si>
  <si>
    <t>UN01005839</t>
  </si>
  <si>
    <t>この明細行の税抜き譲渡資産金額（契約単価×検収数量＋明細行追加請求金額（税抜き）ー明細行返金金額（税抜き））
契約単価×数量で指定できない場合は金額</t>
    <rPh sb="21" eb="23">
      <t>ケンシュウ</t>
    </rPh>
    <phoneticPr fontId="0"/>
  </si>
  <si>
    <t>明細行譲渡資産金額（税抜き）</t>
  </si>
  <si>
    <t>SIID359</t>
  </si>
  <si>
    <t>IBT-167</t>
  </si>
  <si>
    <t>デフォルト
＝VAT</t>
  </si>
  <si>
    <t>コード値
選択入力</t>
  </si>
  <si>
    <t>税の種類を識別するコード。デフォルトは消費税；VAT</t>
  </si>
  <si>
    <t>明細行税タイプコード</t>
  </si>
  <si>
    <t>SIID358</t>
  </si>
  <si>
    <t>1..n</t>
  </si>
  <si>
    <t>IBG-30</t>
  </si>
  <si>
    <t>UN01009665</t>
  </si>
  <si>
    <t>明細行の税に関する情報に関するグループ</t>
  </si>
  <si>
    <t>SIGR83</t>
  </si>
  <si>
    <t>UN01014641</t>
  </si>
  <si>
    <t>v４</t>
  </si>
  <si>
    <t>明細行の取引方向を識別するコード
デフォルトは「プラス」
明細行取引類型コードが「調整」を指定場合に利用する。
金額の「プラス」「マイナス」表示を許容する場合は実装しない。</t>
  </si>
  <si>
    <t>明細行取引方向コード</t>
  </si>
  <si>
    <t>SIID357</t>
  </si>
  <si>
    <t>UN01009651</t>
  </si>
  <si>
    <t>明細行の決済入に関する情報からなるグループ</t>
  </si>
  <si>
    <t>SIGR82</t>
  </si>
  <si>
    <t>この明細行が参照する出荷回答書の変更履歴を管理するID。</t>
    <rPh sb="12" eb="14">
      <t>カイトウ</t>
    </rPh>
    <phoneticPr fontId="0"/>
  </si>
  <si>
    <t>（明細行参照）出荷回答書履歴ID</t>
    <rPh sb="9" eb="11">
      <t>カイトウ</t>
    </rPh>
    <phoneticPr fontId="0"/>
  </si>
  <si>
    <t>IID501</t>
  </si>
  <si>
    <t>この明細行が参照する出荷回答書に記載の文書明細行ID。</t>
    <rPh sb="10" eb="14">
      <t>シュッカカイトウ</t>
    </rPh>
    <phoneticPr fontId="0"/>
  </si>
  <si>
    <t>（明細行参照）出荷回答書明細行ID</t>
    <rPh sb="9" eb="11">
      <t>カイトウ</t>
    </rPh>
    <phoneticPr fontId="0"/>
  </si>
  <si>
    <t>IID500</t>
  </si>
  <si>
    <t>この明細行が参照する出荷回答書の発行日</t>
    <rPh sb="10" eb="12">
      <t>シュッカ</t>
    </rPh>
    <rPh sb="12" eb="14">
      <t>カイトウ</t>
    </rPh>
    <rPh sb="14" eb="15">
      <t>ショ</t>
    </rPh>
    <phoneticPr fontId="0"/>
  </si>
  <si>
    <t>（明細行参照）出荷回答書発行日</t>
    <rPh sb="7" eb="9">
      <t>シュッカ</t>
    </rPh>
    <rPh sb="9" eb="11">
      <t>カイトウ</t>
    </rPh>
    <rPh sb="11" eb="12">
      <t>ショ</t>
    </rPh>
    <phoneticPr fontId="0"/>
  </si>
  <si>
    <t>IID499</t>
  </si>
  <si>
    <t>IBT-184</t>
  </si>
  <si>
    <t>この明細行が参照する出荷回答書に記載の文書ID。</t>
    <rPh sb="10" eb="12">
      <t>シュッカ</t>
    </rPh>
    <rPh sb="12" eb="14">
      <t>カイトウ</t>
    </rPh>
    <rPh sb="14" eb="15">
      <t>ショ</t>
    </rPh>
    <phoneticPr fontId="0"/>
  </si>
  <si>
    <t>（明細行参照）出荷回答書ID</t>
    <rPh sb="9" eb="11">
      <t>カイトウ</t>
    </rPh>
    <phoneticPr fontId="0"/>
  </si>
  <si>
    <t>IID498</t>
  </si>
  <si>
    <t>JPSxxxxxxxx</t>
    <phoneticPr fontId="0"/>
  </si>
  <si>
    <t xml:space="preserve"> </t>
    <phoneticPr fontId="0"/>
  </si>
  <si>
    <t>明細行の参照出荷回答書グループ</t>
    <rPh sb="8" eb="10">
      <t>カイトウ</t>
    </rPh>
    <phoneticPr fontId="0"/>
  </si>
  <si>
    <t>IGR107</t>
    <phoneticPr fontId="0"/>
  </si>
  <si>
    <t>この明細行が参照する出荷案内書の変更履歴を管理するID。</t>
  </si>
  <si>
    <t>（明細行参照）出荷案内書履歴ID</t>
  </si>
  <si>
    <t>IID334</t>
  </si>
  <si>
    <t>この明細行が参照する出荷案内書に記載の文書明細行ID。</t>
    <rPh sb="10" eb="14">
      <t>シュッカアンナイ</t>
    </rPh>
    <phoneticPr fontId="0"/>
  </si>
  <si>
    <t>（明細行参照）出荷案内書明細行ID</t>
  </si>
  <si>
    <t>IID332</t>
  </si>
  <si>
    <t>この明細行が参照する出荷案内書の発行日</t>
    <rPh sb="10" eb="12">
      <t>シュッカ</t>
    </rPh>
    <rPh sb="12" eb="14">
      <t>アンナイ</t>
    </rPh>
    <phoneticPr fontId="0"/>
  </si>
  <si>
    <t>（明細行参照）出荷案内書発行日</t>
    <rPh sb="7" eb="9">
      <t>シュッカ</t>
    </rPh>
    <rPh sb="9" eb="11">
      <t>アンナイ</t>
    </rPh>
    <phoneticPr fontId="0"/>
  </si>
  <si>
    <t>IID497</t>
  </si>
  <si>
    <t>この明細行が参照する出荷案内書に記載の文書ID。</t>
    <rPh sb="10" eb="12">
      <t>シュッカ</t>
    </rPh>
    <rPh sb="12" eb="14">
      <t>アンナイ</t>
    </rPh>
    <phoneticPr fontId="0"/>
  </si>
  <si>
    <t>（明細行参照）出荷案内書ID</t>
  </si>
  <si>
    <t>IID331</t>
  </si>
  <si>
    <t>明細行の参照出荷案内書グループ</t>
  </si>
  <si>
    <t>IGR78</t>
  </si>
  <si>
    <t>UN01005628</t>
  </si>
  <si>
    <t>納入先が受領した日</t>
    <rPh sb="2" eb="3">
      <t>サキ</t>
    </rPh>
    <rPh sb="4" eb="6">
      <t>ジュリョウ</t>
    </rPh>
    <phoneticPr fontId="0"/>
  </si>
  <si>
    <t>明細行受領日</t>
    <rPh sb="0" eb="3">
      <t>メイサイギョウ</t>
    </rPh>
    <rPh sb="3" eb="5">
      <t>ジュリョウ</t>
    </rPh>
    <phoneticPr fontId="0"/>
  </si>
  <si>
    <t>SIID496</t>
    <phoneticPr fontId="0"/>
  </si>
  <si>
    <t>明細行受領にかかわるイベントのグループ</t>
    <rPh sb="0" eb="3">
      <t>メイサイギョウ</t>
    </rPh>
    <rPh sb="3" eb="5">
      <t>ジュリョウ</t>
    </rPh>
    <phoneticPr fontId="0"/>
  </si>
  <si>
    <t>SIGR106</t>
    <phoneticPr fontId="0"/>
  </si>
  <si>
    <t>IBT-072</t>
  </si>
  <si>
    <t>v4</t>
    <phoneticPr fontId="0"/>
  </si>
  <si>
    <t>納入先へ出荷した日</t>
    <rPh sb="4" eb="6">
      <t>シュッカ</t>
    </rPh>
    <phoneticPr fontId="0"/>
  </si>
  <si>
    <t>明細行出荷日</t>
    <rPh sb="0" eb="3">
      <t>メイサイギョウ</t>
    </rPh>
    <rPh sb="3" eb="5">
      <t>シュッカ</t>
    </rPh>
    <phoneticPr fontId="0"/>
  </si>
  <si>
    <t>IID495</t>
  </si>
  <si>
    <t>明細行出荷にかかわるイベントのグループ</t>
    <rPh sb="0" eb="3">
      <t>メイサイギョウ</t>
    </rPh>
    <rPh sb="3" eb="5">
      <t>シュッカ</t>
    </rPh>
    <phoneticPr fontId="0"/>
  </si>
  <si>
    <t>IGR105</t>
    <phoneticPr fontId="0"/>
  </si>
  <si>
    <t>IBT-130</t>
  </si>
  <si>
    <t>SC</t>
  </si>
  <si>
    <t>SC</t>
    <phoneticPr fontId="0"/>
  </si>
  <si>
    <t>数量の数量単位を指定するコード。数量単位コード値を数量の属性として組込む</t>
    <rPh sb="0" eb="2">
      <t>スウリョウ</t>
    </rPh>
    <rPh sb="5" eb="7">
      <t>タンイ</t>
    </rPh>
    <rPh sb="8" eb="10">
      <t>シテイ</t>
    </rPh>
    <rPh sb="16" eb="20">
      <t>スウリョウタンイ</t>
    </rPh>
    <rPh sb="23" eb="24">
      <t>チ</t>
    </rPh>
    <rPh sb="25" eb="27">
      <t>スウリョウ</t>
    </rPh>
    <rPh sb="28" eb="30">
      <t>ゾクセイ</t>
    </rPh>
    <rPh sb="33" eb="34">
      <t>ク</t>
    </rPh>
    <rPh sb="34" eb="35">
      <t>コ</t>
    </rPh>
    <phoneticPr fontId="0"/>
  </si>
  <si>
    <t>受領数量単位コード</t>
    <rPh sb="0" eb="2">
      <t>ジュリョウ</t>
    </rPh>
    <rPh sb="2" eb="4">
      <t>スウリョウ</t>
    </rPh>
    <rPh sb="4" eb="6">
      <t>タンイ</t>
    </rPh>
    <phoneticPr fontId="0"/>
  </si>
  <si>
    <t>SIID356</t>
    <phoneticPr fontId="0"/>
  </si>
  <si>
    <t>IBT-129</t>
  </si>
  <si>
    <t>デフォルト
＝H87（個）</t>
    <rPh sb="11" eb="12">
      <t>コ</t>
    </rPh>
    <phoneticPr fontId="0"/>
  </si>
  <si>
    <t>属性コード値
選択入力</t>
  </si>
  <si>
    <t>UNECE</t>
  </si>
  <si>
    <t>数量単位コード
UNECE Rec20</t>
    <phoneticPr fontId="0"/>
  </si>
  <si>
    <t>○</t>
    <phoneticPr fontId="0"/>
  </si>
  <si>
    <t>この情報項目はずべての品目の受領数量の指定に利用する。
この項目の数量単位属性は次のいずれかを選択：「個」、「セット」、「不定貫数量単位」</t>
    <rPh sb="2" eb="4">
      <t>ジョウホウ</t>
    </rPh>
    <rPh sb="14" eb="16">
      <t>ジュリョウ</t>
    </rPh>
    <rPh sb="16" eb="18">
      <t>スウリョウ</t>
    </rPh>
    <rPh sb="21" eb="23">
      <t>チュウモン</t>
    </rPh>
    <rPh sb="26" eb="28">
      <t>シテイ</t>
    </rPh>
    <rPh sb="29" eb="31">
      <t>リヨウ</t>
    </rPh>
    <rPh sb="37" eb="39">
      <t>ゾクセイ</t>
    </rPh>
    <rPh sb="40" eb="41">
      <t>ツギ</t>
    </rPh>
    <rPh sb="47" eb="49">
      <t>センタク</t>
    </rPh>
    <rPh sb="51" eb="52">
      <t>コ</t>
    </rPh>
    <rPh sb="61" eb="64">
      <t>フテイカン</t>
    </rPh>
    <rPh sb="64" eb="68">
      <t>スウリョウタンイ</t>
    </rPh>
    <phoneticPr fontId="0"/>
  </si>
  <si>
    <t>受領数量</t>
    <rPh sb="0" eb="2">
      <t>ジュリョウ</t>
    </rPh>
    <rPh sb="2" eb="4">
      <t>スウリョウ</t>
    </rPh>
    <phoneticPr fontId="0"/>
  </si>
  <si>
    <t>SIID355</t>
    <phoneticPr fontId="0"/>
  </si>
  <si>
    <t>☆</t>
  </si>
  <si>
    <t>請求数量単位コード</t>
    <rPh sb="0" eb="2">
      <t>セイキュウ</t>
    </rPh>
    <rPh sb="2" eb="4">
      <t>スウリョウ</t>
    </rPh>
    <rPh sb="4" eb="6">
      <t>タンイ</t>
    </rPh>
    <phoneticPr fontId="0"/>
  </si>
  <si>
    <t>IID356</t>
    <phoneticPr fontId="0"/>
  </si>
  <si>
    <t>UN01014639</t>
  </si>
  <si>
    <t>この情報項目は受注者の請求数量の転記に利用する。
この項目の数量単位属性は次のいずれかを選択：「個」、「セット」、「不定貫数量単位」</t>
    <rPh sb="2" eb="4">
      <t>ジョウホウ</t>
    </rPh>
    <rPh sb="7" eb="10">
      <t>ジュチュウシャ</t>
    </rPh>
    <rPh sb="11" eb="13">
      <t>セイキュウ</t>
    </rPh>
    <rPh sb="13" eb="15">
      <t>スウリョウ</t>
    </rPh>
    <rPh sb="16" eb="18">
      <t>テンキ</t>
    </rPh>
    <rPh sb="18" eb="20">
      <t>チュウモン</t>
    </rPh>
    <rPh sb="23" eb="25">
      <t>シテイ</t>
    </rPh>
    <rPh sb="26" eb="28">
      <t>リヨウ</t>
    </rPh>
    <rPh sb="34" eb="36">
      <t>ゾクセイ</t>
    </rPh>
    <rPh sb="37" eb="38">
      <t>ツギ</t>
    </rPh>
    <rPh sb="44" eb="46">
      <t>センタク</t>
    </rPh>
    <rPh sb="48" eb="49">
      <t>コ</t>
    </rPh>
    <rPh sb="58" eb="61">
      <t>フテイカン</t>
    </rPh>
    <rPh sb="61" eb="65">
      <t>スウリョウタンイ</t>
    </rPh>
    <phoneticPr fontId="0"/>
  </si>
  <si>
    <t>請求数量</t>
    <rPh sb="0" eb="2">
      <t>セイキュウ</t>
    </rPh>
    <phoneticPr fontId="0"/>
  </si>
  <si>
    <t>IID355</t>
    <phoneticPr fontId="0"/>
  </si>
  <si>
    <t>受領セット単位数量（入り数）の数量単位を指定するコード。数量単位コード値を数量の属性として組込む</t>
    <rPh sb="5" eb="7">
      <t>タンイ</t>
    </rPh>
    <rPh sb="7" eb="9">
      <t>スウリョウ</t>
    </rPh>
    <rPh sb="10" eb="11">
      <t>イ</t>
    </rPh>
    <rPh sb="12" eb="13">
      <t>スウ</t>
    </rPh>
    <rPh sb="17" eb="19">
      <t>タンイ</t>
    </rPh>
    <rPh sb="20" eb="22">
      <t>シテイ</t>
    </rPh>
    <rPh sb="28" eb="32">
      <t>スウリョウタンイ</t>
    </rPh>
    <rPh sb="35" eb="36">
      <t>チ</t>
    </rPh>
    <rPh sb="37" eb="39">
      <t>スウリョウ</t>
    </rPh>
    <rPh sb="40" eb="42">
      <t>ゾクセイ</t>
    </rPh>
    <rPh sb="45" eb="46">
      <t>ク</t>
    </rPh>
    <rPh sb="46" eb="47">
      <t>コ</t>
    </rPh>
    <phoneticPr fontId="0"/>
  </si>
  <si>
    <t>受領セット単位数量単位コード</t>
    <rPh sb="5" eb="7">
      <t>タンイ</t>
    </rPh>
    <rPh sb="7" eb="9">
      <t>スウリョウ</t>
    </rPh>
    <rPh sb="9" eb="11">
      <t>タンイ</t>
    </rPh>
    <phoneticPr fontId="0"/>
  </si>
  <si>
    <t>SIID354</t>
  </si>
  <si>
    <t>UN01009662</t>
  </si>
  <si>
    <t>v3/v4</t>
  </si>
  <si>
    <t>✔ 受領数量の数量単位指定が定貫品目（セット）の場合：1セット当たりのバラ数量を入力。
✔受領数量がハイブリッド品目（セット）の場合：受領数量で指定したセット数量の1単位当たりの重量・容量（個数でカウントできない不定貫品目の数量単位属性）を入力
✔受領数量の 数量単位指定が定貫品目（個）の場合：利用しない
✔ 受領数量の数量単位指定が不定貫品目の場合：利用しない。</t>
    <rPh sb="106" eb="109">
      <t>フテイカン</t>
    </rPh>
    <rPh sb="112" eb="114">
      <t>スウリョウ</t>
    </rPh>
    <rPh sb="114" eb="116">
      <t>タンイ</t>
    </rPh>
    <rPh sb="116" eb="118">
      <t>ゾクセイ</t>
    </rPh>
    <rPh sb="120" eb="122">
      <t>ニュウリョクセイキュウジョウホウコウモクヨウリョウ</t>
    </rPh>
    <phoneticPr fontId="11"/>
  </si>
  <si>
    <t>受領セット単位数量(入り数）</t>
  </si>
  <si>
    <t>SIID353</t>
  </si>
  <si>
    <t>受領バラ数量単位コード</t>
    <rPh sb="4" eb="6">
      <t>スウリョウ</t>
    </rPh>
    <rPh sb="6" eb="8">
      <t>タンイ</t>
    </rPh>
    <phoneticPr fontId="0"/>
  </si>
  <si>
    <t>SIID352</t>
  </si>
  <si>
    <t>UN01009661</t>
  </si>
  <si>
    <t>受領数量がセット数量単位属性を指定の場合に利用する。
受領バラ数量＝受領数量（属性：セット）×セット単位数量（入り数）（属性：個、または不定貫品目量）</t>
    <rPh sb="2" eb="4">
      <t>スウリョウ</t>
    </rPh>
    <rPh sb="8" eb="10">
      <t>スウリョウ</t>
    </rPh>
    <rPh sb="10" eb="12">
      <t>タンイ</t>
    </rPh>
    <rPh sb="12" eb="14">
      <t>ゾクセイ</t>
    </rPh>
    <rPh sb="15" eb="17">
      <t>シテイ</t>
    </rPh>
    <rPh sb="18" eb="20">
      <t>バアイ</t>
    </rPh>
    <rPh sb="21" eb="23">
      <t>リヨウ</t>
    </rPh>
    <rPh sb="31" eb="33">
      <t>スウリョウ</t>
    </rPh>
    <rPh sb="36" eb="38">
      <t>スウリョウ</t>
    </rPh>
    <rPh sb="39" eb="41">
      <t>ゾクセイ</t>
    </rPh>
    <rPh sb="50" eb="52">
      <t>タンイ</t>
    </rPh>
    <rPh sb="52" eb="54">
      <t>スウリョウ</t>
    </rPh>
    <rPh sb="55" eb="56">
      <t>イ</t>
    </rPh>
    <rPh sb="57" eb="58">
      <t>スウ</t>
    </rPh>
    <rPh sb="60" eb="62">
      <t>ゾクセイ</t>
    </rPh>
    <rPh sb="63" eb="64">
      <t>コ</t>
    </rPh>
    <rPh sb="68" eb="71">
      <t>フテイカン</t>
    </rPh>
    <rPh sb="71" eb="73">
      <t>ヒンモク</t>
    </rPh>
    <rPh sb="73" eb="74">
      <t>リョウ</t>
    </rPh>
    <phoneticPr fontId="0"/>
  </si>
  <si>
    <t>受領バラ数量</t>
  </si>
  <si>
    <t>SIID351</t>
  </si>
  <si>
    <t>UN01009650</t>
  </si>
  <si>
    <t>明細行の納入に関する情報からなるグループ</t>
  </si>
  <si>
    <t>SIGR81</t>
  </si>
  <si>
    <t>IBT-150</t>
  </si>
  <si>
    <t>単価基準数量の数量単位を指定するコード。不定貫品目の単価基準数量単位コード値を単価基準数量の属性として組込む。</t>
    <rPh sb="0" eb="2">
      <t>タンカ</t>
    </rPh>
    <rPh sb="2" eb="4">
      <t>キジュン</t>
    </rPh>
    <rPh sb="4" eb="6">
      <t>スウリョウ</t>
    </rPh>
    <rPh sb="7" eb="9">
      <t>スウリョウ</t>
    </rPh>
    <rPh sb="9" eb="11">
      <t>タンイ</t>
    </rPh>
    <rPh sb="12" eb="14">
      <t>シテイ</t>
    </rPh>
    <rPh sb="26" eb="28">
      <t>タンカ</t>
    </rPh>
    <rPh sb="28" eb="32">
      <t>キジュンスウリョウ</t>
    </rPh>
    <rPh sb="32" eb="34">
      <t>タンイ</t>
    </rPh>
    <rPh sb="37" eb="38">
      <t>チ</t>
    </rPh>
    <phoneticPr fontId="0"/>
  </si>
  <si>
    <t>単価基準数量単位コード</t>
    <rPh sb="0" eb="2">
      <t>タンカ</t>
    </rPh>
    <rPh sb="2" eb="4">
      <t>キジュン</t>
    </rPh>
    <rPh sb="4" eb="6">
      <t>スウリョウ</t>
    </rPh>
    <rPh sb="6" eb="8">
      <t>タンイ</t>
    </rPh>
    <phoneticPr fontId="0"/>
  </si>
  <si>
    <t>SIID348</t>
  </si>
  <si>
    <t>IBT-149</t>
  </si>
  <si>
    <t>数量単位コード
UNECERec20</t>
  </si>
  <si>
    <t>UN01005793</t>
  </si>
  <si>
    <t>✔定貫品目の場合：空欄（デフォルト）、または単価基準数量＝１
✔不定貫品目、ハイブリッド品目の場合：単価基準数量＝単価の基準となる重量・容量</t>
  </si>
  <si>
    <t>単価基準数量</t>
  </si>
  <si>
    <t>SIID347</t>
  </si>
  <si>
    <t>IBT-146</t>
  </si>
  <si>
    <t>UN01005792</t>
  </si>
  <si>
    <t>v1/v3</t>
  </si>
  <si>
    <t>発注者と受注者が合意した明細発注品の単価。単価基準数量と単価基準数量単位の指定に従う。
税込み、税抜きの識別はヘッダ部の「UN01013096：税計算方式」で指定（指定がない場合（デフォルト）は税抜き）。</t>
  </si>
  <si>
    <t>契約単価</t>
  </si>
  <si>
    <t>SIID346</t>
  </si>
  <si>
    <t>UNCL5375</t>
  </si>
  <si>
    <t>UN01005791</t>
  </si>
  <si>
    <t>*</t>
  </si>
  <si>
    <t>単価の区分（確定、仮単価等）を識別するコード</t>
  </si>
  <si>
    <t>単価コード</t>
  </si>
  <si>
    <t>SIID345</t>
  </si>
  <si>
    <t>IBG-29</t>
  </si>
  <si>
    <t>UN01009658</t>
  </si>
  <si>
    <t xml:space="preserve">☆ </t>
    <phoneticPr fontId="0"/>
  </si>
  <si>
    <t>明細行の契約単価に関する情報からなるグループ。</t>
  </si>
  <si>
    <t>SIGR80</t>
  </si>
  <si>
    <t>この明細行が参照する文書の文書サブタイプを識別するコード。</t>
  </si>
  <si>
    <t>SIID344</t>
  </si>
  <si>
    <t>UN01011455</t>
  </si>
  <si>
    <t>この参照文書に紐付く添付バイナリファイルの有無を指定
なしの場合はNULL（デファクト）
ありの場合は鑑ヘッダの添付バイナリファイルグループ（UN01015490）で紐付けたバイナリファイルIDを指定し、BASE64で入力</t>
    <rPh sb="51" eb="52">
      <t>カガミ</t>
    </rPh>
    <rPh sb="56" eb="58">
      <t>テンプ</t>
    </rPh>
    <rPh sb="98" eb="100">
      <t>シテイ</t>
    </rPh>
    <phoneticPr fontId="0"/>
  </si>
  <si>
    <t>（明細行参照）文書添付ファイル</t>
  </si>
  <si>
    <t>SIID343</t>
  </si>
  <si>
    <t>IBT-189</t>
  </si>
  <si>
    <t>コード値
選択入力</t>
    <phoneticPr fontId="0"/>
  </si>
  <si>
    <t>この明細行が参照する文書の文書タイプを識別するコード</t>
    <phoneticPr fontId="0"/>
  </si>
  <si>
    <t>SIID342</t>
  </si>
  <si>
    <t>UN01006415</t>
  </si>
  <si>
    <t>＊</t>
    <phoneticPr fontId="0"/>
  </si>
  <si>
    <t>この明細行が参照する文書に記載の情報</t>
    <rPh sb="10" eb="12">
      <t>ブンショ</t>
    </rPh>
    <rPh sb="13" eb="15">
      <t>キサイ</t>
    </rPh>
    <rPh sb="16" eb="18">
      <t>ジョウホウ</t>
    </rPh>
    <phoneticPr fontId="0"/>
  </si>
  <si>
    <t>（明細行参照）文書情報</t>
    <rPh sb="7" eb="9">
      <t>ブンショ</t>
    </rPh>
    <rPh sb="9" eb="11">
      <t>ジョウホウ</t>
    </rPh>
    <phoneticPr fontId="0"/>
  </si>
  <si>
    <t>SIID418</t>
  </si>
  <si>
    <t>UN01005589</t>
  </si>
  <si>
    <t>この明細行が参照する文書の名称</t>
    <rPh sb="10" eb="12">
      <t>ブンショ</t>
    </rPh>
    <rPh sb="13" eb="15">
      <t>メイショウ</t>
    </rPh>
    <phoneticPr fontId="10"/>
  </si>
  <si>
    <t>（明細行参照）文書名</t>
    <rPh sb="7" eb="9">
      <t>ブンショ</t>
    </rPh>
    <rPh sb="9" eb="10">
      <t>メイ</t>
    </rPh>
    <phoneticPr fontId="13"/>
  </si>
  <si>
    <t>SIID486</t>
  </si>
  <si>
    <t>この明細行が参照する文書の変更履歴を管理するID。</t>
  </si>
  <si>
    <t>（明細行参照）文書履歴ID</t>
  </si>
  <si>
    <t>SIID341</t>
  </si>
  <si>
    <t>SIID340</t>
  </si>
  <si>
    <t>この明細行が参照する文書に記載の文書明細行ID。</t>
  </si>
  <si>
    <t>（明細行参照）文書明細行ID</t>
  </si>
  <si>
    <t>SIID339</t>
  </si>
  <si>
    <t>この明細行が参照する文書の発行日</t>
    <rPh sb="10" eb="11">
      <t>ブン</t>
    </rPh>
    <rPh sb="11" eb="12">
      <t>ショ</t>
    </rPh>
    <phoneticPr fontId="0"/>
  </si>
  <si>
    <t>（明細行参照）文書発行日</t>
    <rPh sb="7" eb="8">
      <t>ブン</t>
    </rPh>
    <rPh sb="8" eb="9">
      <t>ショ</t>
    </rPh>
    <phoneticPr fontId="0"/>
  </si>
  <si>
    <t>SIID457</t>
  </si>
  <si>
    <t>UN01005581</t>
  </si>
  <si>
    <t>この明細行が参照する文書が所在するURL_ID</t>
    <rPh sb="10" eb="12">
      <t>ブンショ</t>
    </rPh>
    <rPh sb="13" eb="15">
      <t>ショザイ</t>
    </rPh>
    <phoneticPr fontId="0"/>
  </si>
  <si>
    <t>（明細行参照）文書URL_ID</t>
    <rPh sb="7" eb="9">
      <t>ブンショ</t>
    </rPh>
    <phoneticPr fontId="0"/>
  </si>
  <si>
    <t>SIID417</t>
  </si>
  <si>
    <t>IBT-188</t>
  </si>
  <si>
    <t>この明細行が参照する文書に記載の文書ID。</t>
  </si>
  <si>
    <t>（明細行参照）文書ID</t>
  </si>
  <si>
    <t>SIID338</t>
  </si>
  <si>
    <t>IBG-36</t>
  </si>
  <si>
    <t>UN01009656</t>
  </si>
  <si>
    <t>明細行の参照文書グループ</t>
  </si>
  <si>
    <t>SIGR79</t>
  </si>
  <si>
    <t>この明細行が参照する注文書の変更履歴を管理するID。</t>
  </si>
  <si>
    <t>（明細行参照）注文書履歴ID</t>
  </si>
  <si>
    <t>OID7</t>
    <phoneticPr fontId="0"/>
  </si>
  <si>
    <t>IBT-132</t>
  </si>
  <si>
    <t>この明細行が参照する注文書に記載の明細行ID</t>
  </si>
  <si>
    <t>（明細行参照）注文書明細行ID</t>
  </si>
  <si>
    <t>ORID103</t>
  </si>
  <si>
    <t>この明細行が参照する注文書の発行日</t>
    <rPh sb="10" eb="12">
      <t>チュウモン</t>
    </rPh>
    <rPh sb="12" eb="13">
      <t>ショ</t>
    </rPh>
    <phoneticPr fontId="0"/>
  </si>
  <si>
    <t>（明細行参照）注文書発行日</t>
    <rPh sb="7" eb="9">
      <t>チュウモン</t>
    </rPh>
    <rPh sb="9" eb="10">
      <t>ショ</t>
    </rPh>
    <phoneticPr fontId="0"/>
  </si>
  <si>
    <t>OID4</t>
    <phoneticPr fontId="0"/>
  </si>
  <si>
    <t>この明細行が参照する注文書が所在するURL_ID</t>
    <rPh sb="10" eb="13">
      <t>チュウモンショ</t>
    </rPh>
    <rPh sb="14" eb="16">
      <t>ショザイ</t>
    </rPh>
    <phoneticPr fontId="0"/>
  </si>
  <si>
    <t>（明細行参照）注文書URL_ID</t>
    <rPh sb="7" eb="10">
      <t>チュウモンショ</t>
    </rPh>
    <phoneticPr fontId="0"/>
  </si>
  <si>
    <t>IID455</t>
  </si>
  <si>
    <t>0,,1</t>
  </si>
  <si>
    <t>IBT-183</t>
  </si>
  <si>
    <t>この明細行が参照する注文書に記載の文書ID</t>
  </si>
  <si>
    <t>（明細行参照）注文書ID</t>
  </si>
  <si>
    <t>OID1</t>
    <phoneticPr fontId="0"/>
  </si>
  <si>
    <t>UN01009655</t>
  </si>
  <si>
    <t>明細行の参照注文書グループ</t>
  </si>
  <si>
    <t>SIGR76</t>
    <phoneticPr fontId="0"/>
  </si>
  <si>
    <t>この明細行が参照する受注書の変更履歴を管理するID。</t>
  </si>
  <si>
    <t>（明細行参照）受注書履歴ID</t>
  </si>
  <si>
    <t>ORID7</t>
  </si>
  <si>
    <t>この明細行が参照する受注書に記載の明細行ID</t>
  </si>
  <si>
    <t>（明細行参照）受注書明細行ID</t>
  </si>
  <si>
    <t>この明細行が参照する受注書の発行日</t>
    <rPh sb="10" eb="12">
      <t>ジュチュウ</t>
    </rPh>
    <rPh sb="12" eb="13">
      <t>ショ</t>
    </rPh>
    <phoneticPr fontId="0"/>
  </si>
  <si>
    <t>（明細行参照）受注書発行日</t>
    <rPh sb="7" eb="9">
      <t>ジュチュウ</t>
    </rPh>
    <rPh sb="9" eb="10">
      <t>ショ</t>
    </rPh>
    <phoneticPr fontId="0"/>
  </si>
  <si>
    <t>ORID4</t>
  </si>
  <si>
    <t>この明細行が参照する受注書が所在するURL_ID</t>
    <rPh sb="10" eb="12">
      <t>ジュチュウ</t>
    </rPh>
    <rPh sb="12" eb="13">
      <t>ショ</t>
    </rPh>
    <rPh sb="14" eb="16">
      <t>ショザイ</t>
    </rPh>
    <phoneticPr fontId="0"/>
  </si>
  <si>
    <t>（明細行参照）受注書URL_ID</t>
    <rPh sb="7" eb="10">
      <t>ジュチュウショ</t>
    </rPh>
    <phoneticPr fontId="0"/>
  </si>
  <si>
    <t>IID453</t>
  </si>
  <si>
    <t>この明細行が参照する受注書に記載の文書ID</t>
  </si>
  <si>
    <t>（明細行参照）受注書ID</t>
  </si>
  <si>
    <t>ORID1</t>
  </si>
  <si>
    <t>UN01009654</t>
  </si>
  <si>
    <t>明細行の参照受注書グループ</t>
  </si>
  <si>
    <t>SIGR75</t>
    <phoneticPr fontId="0"/>
  </si>
  <si>
    <t>UN01005562</t>
  </si>
  <si>
    <t>△</t>
  </si>
  <si>
    <t>明細行注釈の識別ID
共通EDIプロバイダがシリアル番号をセット。標準仕様書３．３．５項参照</t>
  </si>
  <si>
    <t>明細行注釈ID</t>
  </si>
  <si>
    <t>SIID317</t>
  </si>
  <si>
    <t>IBT-127</t>
  </si>
  <si>
    <t>UN01005560</t>
  </si>
  <si>
    <t>明細行の注釈表題毎の内容情報を入力するフリースペース。
一部に利用制限あり。標準仕様書３．３．５項参照</t>
  </si>
  <si>
    <t>明細行注釈内容</t>
  </si>
  <si>
    <t>SIID316</t>
  </si>
  <si>
    <t>UN01005558</t>
  </si>
  <si>
    <t>明細行の注釈内容の表題を示す。
一部に利用制限あり。標準仕様書３．３．５項参照</t>
  </si>
  <si>
    <t>明細行注釈表題</t>
  </si>
  <si>
    <t>SIID315</t>
  </si>
  <si>
    <t>UN01015533</t>
  </si>
  <si>
    <t>　</t>
    <phoneticPr fontId="0"/>
  </si>
  <si>
    <t>明細行の注釈を記述するグループ</t>
  </si>
  <si>
    <t>SIGR74</t>
  </si>
  <si>
    <t>この明細行の仕入明細回答理由の説明</t>
    <rPh sb="2" eb="4">
      <t>メイサイ</t>
    </rPh>
    <rPh sb="4" eb="5">
      <t>ギョウ</t>
    </rPh>
    <rPh sb="6" eb="10">
      <t>シイレメイサイ</t>
    </rPh>
    <rPh sb="10" eb="12">
      <t>カイトウ</t>
    </rPh>
    <rPh sb="12" eb="14">
      <t>リユウ</t>
    </rPh>
    <rPh sb="15" eb="17">
      <t>セツメイ</t>
    </rPh>
    <phoneticPr fontId="0"/>
  </si>
  <si>
    <t>SIID807</t>
  </si>
  <si>
    <t>この明細行の仕入明細回答理由を指定するコード</t>
    <rPh sb="2" eb="4">
      <t>メイサイ</t>
    </rPh>
    <rPh sb="4" eb="5">
      <t>ギョウ</t>
    </rPh>
    <rPh sb="6" eb="10">
      <t>シイレメイサイ</t>
    </rPh>
    <rPh sb="10" eb="12">
      <t>カイトウ</t>
    </rPh>
    <rPh sb="12" eb="14">
      <t>リユウ</t>
    </rPh>
    <rPh sb="15" eb="17">
      <t>シテイ</t>
    </rPh>
    <phoneticPr fontId="0"/>
  </si>
  <si>
    <t>SIID806</t>
  </si>
  <si>
    <t>デフォルト
＝AP（確認回答）</t>
  </si>
  <si>
    <t>UNCL4343</t>
  </si>
  <si>
    <t>UN01015599</t>
    <phoneticPr fontId="0"/>
  </si>
  <si>
    <t>◎</t>
    <phoneticPr fontId="0"/>
  </si>
  <si>
    <t>明細行ごとの回答タイプを示すコード。回答タイプは確認、確認不可
デフォルトは「確認」。</t>
  </si>
  <si>
    <t>明細行回答タイプコード</t>
    <phoneticPr fontId="0"/>
  </si>
  <si>
    <t>SIID803</t>
  </si>
  <si>
    <t>デフォルト
＝101（資産譲渡）</t>
  </si>
  <si>
    <t>UN01014637</t>
  </si>
  <si>
    <t>この明細行の取引類型（資産譲渡、返金・追加請求、調整等）を識別するコード。
デフォルトは「資産譲渡」</t>
  </si>
  <si>
    <t>明細行類型コード</t>
  </si>
  <si>
    <t>SIID314</t>
  </si>
  <si>
    <t>IBT-126</t>
  </si>
  <si>
    <t>UN01009648</t>
    <phoneticPr fontId="0"/>
  </si>
  <si>
    <t>この文書の明細行に関する情報を特定するために付与した行ID。明細行をユニークに識別するために付番する場合は文書IDとの複合キーで明細行を特定する。</t>
  </si>
  <si>
    <t>明細行ID</t>
  </si>
  <si>
    <t>SIID313</t>
  </si>
  <si>
    <t>IBG-25</t>
  </si>
  <si>
    <t>UN01009669</t>
  </si>
  <si>
    <t>明細行に関する情報からなるグループ</t>
  </si>
  <si>
    <t>SIGR73</t>
  </si>
  <si>
    <t>明細行</t>
    <rPh sb="0" eb="2">
      <t>メイサイ</t>
    </rPh>
    <rPh sb="2" eb="3">
      <t>ギョウ</t>
    </rPh>
    <phoneticPr fontId="0"/>
  </si>
  <si>
    <t>IBT-019</t>
  </si>
  <si>
    <t>※</t>
    <phoneticPr fontId="0"/>
  </si>
  <si>
    <t>明細文書ヘッダ会計アカウントの名称</t>
    <rPh sb="7" eb="9">
      <t>カイケイ</t>
    </rPh>
    <rPh sb="15" eb="17">
      <t>メイショウ</t>
    </rPh>
    <phoneticPr fontId="0"/>
  </si>
  <si>
    <t>明細文書ヘッダ会計アカウント名</t>
    <rPh sb="7" eb="9">
      <t>カイケイ</t>
    </rPh>
    <rPh sb="14" eb="15">
      <t>メイ</t>
    </rPh>
    <phoneticPr fontId="0"/>
  </si>
  <si>
    <t>SIID434</t>
  </si>
  <si>
    <t>明細文書ヘッダ</t>
    <phoneticPr fontId="0"/>
  </si>
  <si>
    <t>明細文書ヘッダ会計アカウントのタイプコード</t>
    <rPh sb="7" eb="9">
      <t>カイケイ</t>
    </rPh>
    <phoneticPr fontId="0"/>
  </si>
  <si>
    <t>明細文書ヘッダ会計アカウントタイプコード</t>
    <rPh sb="7" eb="9">
      <t>カイケイ</t>
    </rPh>
    <phoneticPr fontId="0"/>
  </si>
  <si>
    <t>SIID433</t>
  </si>
  <si>
    <t>明細文書ヘッダ会計アカウントのID</t>
    <rPh sb="7" eb="9">
      <t>カイケイ</t>
    </rPh>
    <phoneticPr fontId="0"/>
  </si>
  <si>
    <t>明細文書ヘッダ会計アカウントID</t>
    <rPh sb="7" eb="9">
      <t>カイケイ</t>
    </rPh>
    <phoneticPr fontId="0"/>
  </si>
  <si>
    <t>SIID432</t>
  </si>
  <si>
    <t>UN01006080</t>
  </si>
  <si>
    <t>明細文書ヘッダの会計アカウントに関するグループ</t>
    <rPh sb="0" eb="4">
      <t>メイサイブンショ</t>
    </rPh>
    <phoneticPr fontId="0"/>
  </si>
  <si>
    <t>SIGR98</t>
  </si>
  <si>
    <t>この文書ヘッダの参照文書の文書サブタイプを識別するコード</t>
    <rPh sb="8" eb="10">
      <t>サンショウ</t>
    </rPh>
    <rPh sb="13" eb="15">
      <t>ブンショ</t>
    </rPh>
    <phoneticPr fontId="0"/>
  </si>
  <si>
    <t>（明細文書ヘッダ参照）文書サブタイプコード</t>
  </si>
  <si>
    <t>SIID310</t>
  </si>
  <si>
    <t>（明細文書ヘッダ参照）文書添付ファイル</t>
    <rPh sb="11" eb="13">
      <t>ブンショ</t>
    </rPh>
    <rPh sb="13" eb="15">
      <t>テンプ</t>
    </rPh>
    <phoneticPr fontId="0"/>
  </si>
  <si>
    <t>SIID309</t>
  </si>
  <si>
    <t>UN01009672</t>
    <phoneticPr fontId="0"/>
  </si>
  <si>
    <t>この明細文書ヘッダの参照文書の文書タイプを識別するコード</t>
    <rPh sb="10" eb="12">
      <t>サンショウ</t>
    </rPh>
    <rPh sb="15" eb="17">
      <t>ブンショ</t>
    </rPh>
    <phoneticPr fontId="0"/>
  </si>
  <si>
    <t>（明細文書ヘッダ参照）文書タイプコード</t>
  </si>
  <si>
    <t>SIID308</t>
  </si>
  <si>
    <t>この明細文書ヘッダの参照文書の説明</t>
  </si>
  <si>
    <t>（明細文書ヘッダ参照）文書説明</t>
  </si>
  <si>
    <t>SIID307</t>
  </si>
  <si>
    <t>▼</t>
    <phoneticPr fontId="0"/>
  </si>
  <si>
    <t>この明細文書ヘッダの参照文書の変更履歴を管理するID。</t>
  </si>
  <si>
    <t>（明細文書ヘッダ参照）文書履歴ID</t>
    <rPh sb="13" eb="15">
      <t>リレキ</t>
    </rPh>
    <phoneticPr fontId="0"/>
  </si>
  <si>
    <t>SIID306</t>
  </si>
  <si>
    <t>コード値
選択入力</t>
    <rPh sb="3" eb="4">
      <t>チ</t>
    </rPh>
    <rPh sb="5" eb="7">
      <t>センタク</t>
    </rPh>
    <rPh sb="7" eb="9">
      <t>ニュウリョク</t>
    </rPh>
    <phoneticPr fontId="0"/>
  </si>
  <si>
    <t>この明細文書ヘッダが参照する文書の参照タイプを識別するコード</t>
    <rPh sb="14" eb="16">
      <t>ブンショ</t>
    </rPh>
    <rPh sb="17" eb="19">
      <t>サンショウ</t>
    </rPh>
    <phoneticPr fontId="0"/>
  </si>
  <si>
    <t>（明細文書ヘッダ参照）文書参照タイプコード</t>
    <rPh sb="13" eb="15">
      <t>サンショウ</t>
    </rPh>
    <phoneticPr fontId="0"/>
  </si>
  <si>
    <t>SIID305</t>
  </si>
  <si>
    <t>IBT-026</t>
  </si>
  <si>
    <t>この明細文書ヘッダが参照する文書に記載の発行日付</t>
    <rPh sb="17" eb="19">
      <t>キサイ</t>
    </rPh>
    <rPh sb="20" eb="22">
      <t>ハッコウ</t>
    </rPh>
    <rPh sb="22" eb="24">
      <t>ヒヅケ</t>
    </rPh>
    <phoneticPr fontId="0"/>
  </si>
  <si>
    <t>（明細文書ヘッダ参照）文書発行日</t>
    <rPh sb="13" eb="16">
      <t>ハッコウビ</t>
    </rPh>
    <phoneticPr fontId="0"/>
  </si>
  <si>
    <t>SIID304</t>
  </si>
  <si>
    <t>BBIE</t>
    <phoneticPr fontId="0"/>
  </si>
  <si>
    <t>この文書が参照する文書が所在するURL_ID</t>
    <rPh sb="2" eb="4">
      <t>ブンショ</t>
    </rPh>
    <rPh sb="5" eb="7">
      <t>サンショウ</t>
    </rPh>
    <rPh sb="9" eb="11">
      <t>ブンショ</t>
    </rPh>
    <rPh sb="12" eb="14">
      <t>ショザイ</t>
    </rPh>
    <phoneticPr fontId="0"/>
  </si>
  <si>
    <t>（明細文書ヘッダ参照）文書URL_ID</t>
    <rPh sb="8" eb="10">
      <t>サンショウ</t>
    </rPh>
    <rPh sb="11" eb="13">
      <t>ブンショ</t>
    </rPh>
    <phoneticPr fontId="10"/>
  </si>
  <si>
    <t>SIID408</t>
  </si>
  <si>
    <t>IBT-025</t>
  </si>
  <si>
    <t>この明細文書ヘッダが参照する文書の文書ID</t>
    <rPh sb="17" eb="19">
      <t>ブンショ</t>
    </rPh>
    <phoneticPr fontId="0"/>
  </si>
  <si>
    <t>（明細文書ヘッダ参照）文書ID</t>
    <phoneticPr fontId="0"/>
  </si>
  <si>
    <t>SIID303</t>
  </si>
  <si>
    <t>IBG-03</t>
  </si>
  <si>
    <t>UN01006005</t>
  </si>
  <si>
    <t>明細文書ヘッダの参照文書グループ</t>
  </si>
  <si>
    <t>SIGR71</t>
  </si>
  <si>
    <t>この明細文書ヘッダ参照文書の文書サブタイプを識別するコード</t>
  </si>
  <si>
    <t>SIID302</t>
  </si>
  <si>
    <t>この参照文書に紐付く添付バイナリファイルの有無を指定</t>
    <phoneticPr fontId="0"/>
  </si>
  <si>
    <t>SIID301</t>
  </si>
  <si>
    <t>＝758（Tender）</t>
  </si>
  <si>
    <t>コード値
固定入力</t>
  </si>
  <si>
    <t>この明細文書ヘッダ参照文書の文書タイプを識別するコード
＝「758」(Tender：入札書)
　　→JP-PINT[IBT-017]へマッピング</t>
  </si>
  <si>
    <t>SIID300</t>
  </si>
  <si>
    <t>この明細文書ヘッダ参照入札書の説明</t>
  </si>
  <si>
    <t>（明細文書ヘッダ参照）入札書説明</t>
  </si>
  <si>
    <t>SIID299</t>
  </si>
  <si>
    <t>この明細文書ヘッダ参照入札書の変更履歴を管理するID。</t>
  </si>
  <si>
    <t>（明細文書ヘッダ参照）入札書履歴ID</t>
  </si>
  <si>
    <t>SIID298</t>
  </si>
  <si>
    <t>この明細文書ヘッダ参照入札書の参照タイプを識別するコード。</t>
  </si>
  <si>
    <t>SIID297</t>
  </si>
  <si>
    <t>この明細文書ヘッダ参照入札書に記載の発行日付</t>
  </si>
  <si>
    <t>（明細文書ヘッダ参照）入札書発行日</t>
  </si>
  <si>
    <t>SIID296</t>
  </si>
  <si>
    <t>IBT-017</t>
  </si>
  <si>
    <t>この明細文書ヘッダ参照入札書の文書ID</t>
  </si>
  <si>
    <t>（明細文書ヘッダ参照）入札書ID</t>
  </si>
  <si>
    <t>SIID295</t>
  </si>
  <si>
    <t>明細文書ヘッダ参照の入札書グループ</t>
  </si>
  <si>
    <t>（明細文書ヘッダ参照）入札書グループ</t>
  </si>
  <si>
    <t>SIGR70</t>
  </si>
  <si>
    <t>IBT-018-1</t>
  </si>
  <si>
    <t>この明細文書ヘッダが参照するインボイス対象物の文書サブタイプを識別するコード</t>
  </si>
  <si>
    <t>SIID294</t>
  </si>
  <si>
    <t>この明細文書ヘッダが参照するインボイス対象物の文書タイプを識別するコード</t>
  </si>
  <si>
    <t>SIID293</t>
  </si>
  <si>
    <t>この明細文書ヘッダが参照するインボイス対象物の変更履歴を管理するID</t>
  </si>
  <si>
    <t>（明細文書ヘッダ参照）インボイス対象物履歴ID</t>
  </si>
  <si>
    <t>SIID292</t>
  </si>
  <si>
    <t>SIID291</t>
  </si>
  <si>
    <t>この明細文書ヘッダが参照するインボイス対象物に記載の発行日付</t>
  </si>
  <si>
    <t>（明細文書ヘッダ参照）インボイス対象物発行日</t>
  </si>
  <si>
    <t>SIID290</t>
  </si>
  <si>
    <t>IBT-018</t>
  </si>
  <si>
    <t>この明細文書ヘッダが参照するインボイス対象物に記載の文書ID</t>
  </si>
  <si>
    <t>（明細文書ヘッダ参照）インボイス対象物ID</t>
  </si>
  <si>
    <t>SIID289</t>
  </si>
  <si>
    <t>UN01006004</t>
  </si>
  <si>
    <t>明細文書ヘッダの参照インボイス対象物グループ
　</t>
  </si>
  <si>
    <t>SIGR69</t>
  </si>
  <si>
    <t>IBT-112</t>
  </si>
  <si>
    <t>UN01011519</t>
  </si>
  <si>
    <t>明細文書ヘッダの総合計金額（税込み）
=明細文書ヘッダグロス合計金額（税抜き）＋明細文書ヘッダ合計消費税額</t>
    <rPh sb="8" eb="9">
      <t>ソウ</t>
    </rPh>
    <rPh sb="9" eb="11">
      <t>ゴウケイ</t>
    </rPh>
    <rPh sb="11" eb="13">
      <t>キンガク</t>
    </rPh>
    <rPh sb="14" eb="16">
      <t>ゼイコ</t>
    </rPh>
    <phoneticPr fontId="11"/>
  </si>
  <si>
    <t>明細文書ヘッダ総合計金額（税込み）</t>
  </si>
  <si>
    <t>SIID280</t>
  </si>
  <si>
    <t>UN01008457</t>
  </si>
  <si>
    <t>（●）</t>
    <phoneticPr fontId="0"/>
  </si>
  <si>
    <t>明細行資産譲渡金額の合計金額（税込み）
明細文書ヘッダレベルの追加請求・返金を除く</t>
    <rPh sb="0" eb="2">
      <t>メイサイ</t>
    </rPh>
    <rPh sb="3" eb="7">
      <t>シサンジョウト</t>
    </rPh>
    <rPh sb="7" eb="9">
      <t>キンガク</t>
    </rPh>
    <rPh sb="10" eb="12">
      <t>ゴウケイ</t>
    </rPh>
    <rPh sb="15" eb="17">
      <t>ゼイコ</t>
    </rPh>
    <rPh sb="31" eb="35">
      <t>ツイカセイキュウ</t>
    </rPh>
    <rPh sb="36" eb="38">
      <t>ヘンキン</t>
    </rPh>
    <rPh sb="39" eb="40">
      <t>ノゾ</t>
    </rPh>
    <phoneticPr fontId="7"/>
  </si>
  <si>
    <t>明細文書ヘッダ譲渡資産合計金額(税込み)</t>
  </si>
  <si>
    <t>SIID279</t>
  </si>
  <si>
    <t>IBT-106</t>
  </si>
  <si>
    <t>UN01008456</t>
  </si>
  <si>
    <t>明細行資産譲渡金額の合計金額（税抜き）
明細文書ヘッダレベルの追加請求・返金を除く</t>
    <rPh sb="0" eb="3">
      <t>メイサイギョウ</t>
    </rPh>
    <phoneticPr fontId="0"/>
  </si>
  <si>
    <t>明細文書ヘッダ譲渡資産合計金額(税抜き)</t>
  </si>
  <si>
    <t>SIID278</t>
  </si>
  <si>
    <t>IBT-109</t>
  </si>
  <si>
    <t>UN01008455</t>
  </si>
  <si>
    <t>明細文書ヘッダ明細行の合計金額（税抜き）
明細文書ヘッダレベルの追加請求・返金を含む</t>
    <rPh sb="11" eb="13">
      <t>ゴウケイ</t>
    </rPh>
    <rPh sb="16" eb="18">
      <t>ゼイヌ</t>
    </rPh>
    <rPh sb="32" eb="36">
      <t>ツイカセイキュウ</t>
    </rPh>
    <rPh sb="37" eb="39">
      <t>ヘンキン</t>
    </rPh>
    <rPh sb="40" eb="41">
      <t>フク</t>
    </rPh>
    <phoneticPr fontId="7"/>
  </si>
  <si>
    <t>明細文書ヘッダグロス合計金額（税抜き）</t>
  </si>
  <si>
    <t>SIID277</t>
  </si>
  <si>
    <t>金額の通貨属性を指定する識別子</t>
    <rPh sb="0" eb="2">
      <t>キンガク</t>
    </rPh>
    <rPh sb="3" eb="7">
      <t>ツウカゾクセイ</t>
    </rPh>
    <rPh sb="8" eb="10">
      <t>シテイ</t>
    </rPh>
    <rPh sb="12" eb="15">
      <t>シキベツシ</t>
    </rPh>
    <phoneticPr fontId="2"/>
  </si>
  <si>
    <t>（日本円換算）金額通貨属性ID</t>
    <rPh sb="1" eb="4">
      <t>ニホンエン</t>
    </rPh>
    <rPh sb="4" eb="6">
      <t>カンザン</t>
    </rPh>
    <rPh sb="7" eb="9">
      <t>キンガク</t>
    </rPh>
    <rPh sb="9" eb="11">
      <t>ツウカ</t>
    </rPh>
    <rPh sb="11" eb="13">
      <t>ゾクセイ</t>
    </rPh>
    <phoneticPr fontId="2"/>
  </si>
  <si>
    <t>SIID473</t>
  </si>
  <si>
    <t>明細文書ヘッダ</t>
  </si>
  <si>
    <t>IBT-110</t>
  </si>
  <si>
    <t>デフォルト
＝JPY（日本円）</t>
  </si>
  <si>
    <t>コード値
固定入力</t>
    <rPh sb="5" eb="7">
      <t>コテイ</t>
    </rPh>
    <phoneticPr fontId="0"/>
  </si>
  <si>
    <t>通貨コード
ISO4217</t>
  </si>
  <si>
    <t>UN01006011</t>
  </si>
  <si>
    <t>外貨建て仕入明細書の場合の日本円に換算した消費税額。
日本円仕入明細書の場合は利用しない。</t>
    <rPh sb="0" eb="3">
      <t>ガイカダ</t>
    </rPh>
    <rPh sb="4" eb="6">
      <t>シイレ</t>
    </rPh>
    <rPh sb="6" eb="9">
      <t>メイサイショ</t>
    </rPh>
    <rPh sb="10" eb="12">
      <t>バアイ</t>
    </rPh>
    <rPh sb="13" eb="16">
      <t>ニホンエン</t>
    </rPh>
    <rPh sb="17" eb="19">
      <t>カンザン</t>
    </rPh>
    <rPh sb="21" eb="25">
      <t>ショウヒゼイガク</t>
    </rPh>
    <rPh sb="27" eb="30">
      <t>ニホンエン</t>
    </rPh>
    <rPh sb="30" eb="32">
      <t>シイレ</t>
    </rPh>
    <rPh sb="32" eb="35">
      <t>メイサイショ</t>
    </rPh>
    <rPh sb="36" eb="38">
      <t>バアイ</t>
    </rPh>
    <rPh sb="39" eb="41">
      <t>リヨウ</t>
    </rPh>
    <phoneticPr fontId="9"/>
  </si>
  <si>
    <t>（日本円換算）明細文書ヘッダ消費税合計額</t>
    <rPh sb="1" eb="4">
      <t>ニホンエン</t>
    </rPh>
    <rPh sb="4" eb="6">
      <t>カンザン</t>
    </rPh>
    <rPh sb="14" eb="16">
      <t>ショウヒ</t>
    </rPh>
    <rPh sb="17" eb="19">
      <t>ゴウケイ</t>
    </rPh>
    <rPh sb="19" eb="20">
      <t>ガク</t>
    </rPh>
    <phoneticPr fontId="11"/>
  </si>
  <si>
    <t>SIID442</t>
  </si>
  <si>
    <t>明細文書ヘッダ消費税の合計税額</t>
    <rPh sb="7" eb="10">
      <t>ショウヒゼイ</t>
    </rPh>
    <phoneticPr fontId="0"/>
  </si>
  <si>
    <t>SIID276</t>
  </si>
  <si>
    <t>IBT-107</t>
  </si>
  <si>
    <t>UN01006009</t>
  </si>
  <si>
    <t>明細文書ヘッダレベルの返金合計金額</t>
    <rPh sb="11" eb="13">
      <t>ヘンキン</t>
    </rPh>
    <rPh sb="13" eb="17">
      <t>ゴウケイキンガク</t>
    </rPh>
    <phoneticPr fontId="0"/>
  </si>
  <si>
    <t>明細文書ヘッダ返金合計金額</t>
  </si>
  <si>
    <t>SIID275</t>
  </si>
  <si>
    <t>IBT-108</t>
  </si>
  <si>
    <t>UN01006008</t>
  </si>
  <si>
    <t>※</t>
  </si>
  <si>
    <t>明細文書ヘッダレベルの追加請求合計金額</t>
    <rPh sb="11" eb="15">
      <t>ツイカセイキュウ</t>
    </rPh>
    <rPh sb="15" eb="19">
      <t>ゴウケイキンガク</t>
    </rPh>
    <phoneticPr fontId="0"/>
  </si>
  <si>
    <t>明細文書ヘッダ追加請求合計金額</t>
  </si>
  <si>
    <t>SIID274</t>
  </si>
  <si>
    <t>IBG-22</t>
  </si>
  <si>
    <t>UN01006002</t>
  </si>
  <si>
    <t>明細文書ヘッダ合計金額に関する情報からなるグループ</t>
  </si>
  <si>
    <t>SIGR65</t>
  </si>
  <si>
    <t>IBT-074</t>
  </si>
  <si>
    <t>（◎）</t>
  </si>
  <si>
    <t>この明細文書ヘッダの取引終了日</t>
    <rPh sb="10" eb="12">
      <t>トリヒキ</t>
    </rPh>
    <rPh sb="12" eb="15">
      <t>シュウリョウビ</t>
    </rPh>
    <phoneticPr fontId="0"/>
  </si>
  <si>
    <t>明細文書ヘッダ取引終了日</t>
  </si>
  <si>
    <t>IID273</t>
  </si>
  <si>
    <t>IBT-073</t>
  </si>
  <si>
    <t>この明細文書ヘッダの取引開始日</t>
    <rPh sb="10" eb="12">
      <t>トリヒキ</t>
    </rPh>
    <rPh sb="12" eb="15">
      <t>カイシビ</t>
    </rPh>
    <phoneticPr fontId="0"/>
  </si>
  <si>
    <t>明細文書ヘッダ取引開始日</t>
  </si>
  <si>
    <t>IID272</t>
  </si>
  <si>
    <t>IBG-14</t>
  </si>
  <si>
    <t>UN01005997</t>
  </si>
  <si>
    <t>明細文書ヘッダの取引期間に関する情報からなるグループ
明細文書ヘッダ、または明細行のいずれかの取引期間グループが法的必須
明細文書ヘッダ取引期間グループにデータ入力した場合は明細行取引期間グループのデータ入力は省略することができる</t>
    <rPh sb="8" eb="10">
      <t>トリヒキ</t>
    </rPh>
    <rPh sb="10" eb="12">
      <t>キカン</t>
    </rPh>
    <rPh sb="16" eb="18">
      <t>ジョウホウ</t>
    </rPh>
    <rPh sb="38" eb="41">
      <t>メイサイギョウ</t>
    </rPh>
    <rPh sb="47" eb="49">
      <t>トリヒキ</t>
    </rPh>
    <rPh sb="49" eb="51">
      <t>キカン</t>
    </rPh>
    <rPh sb="56" eb="58">
      <t>ホウテキ</t>
    </rPh>
    <rPh sb="58" eb="60">
      <t>ヒッス</t>
    </rPh>
    <phoneticPr fontId="0"/>
  </si>
  <si>
    <t>IGR64</t>
  </si>
  <si>
    <t>取引の税制年度を識別するID
デフォルトは「2019」（2019年度税制）</t>
  </si>
  <si>
    <t>（日本円換算）明細文書ヘッダ適用税制ID</t>
    <phoneticPr fontId="0"/>
  </si>
  <si>
    <t>SIID271</t>
  </si>
  <si>
    <t>IBT-193</t>
  </si>
  <si>
    <t>外貨建て仕入明細書の明細文書ヘッダの課税分類毎の税額計算のための率。</t>
  </si>
  <si>
    <t>（日本円換算）明細文書ヘッダ税率</t>
    <phoneticPr fontId="0"/>
  </si>
  <si>
    <t>SIID270</t>
  </si>
  <si>
    <t>=JPY(日本円)</t>
  </si>
  <si>
    <t>UN01005842</t>
  </si>
  <si>
    <t>外貨建て仕入明細書の税額を日本円で表示することを指定するコード
=「JPY」</t>
  </si>
  <si>
    <t>（日本円換算）課税分類税通貨コード</t>
  </si>
  <si>
    <t>SIID269</t>
  </si>
  <si>
    <t>IBT-192</t>
  </si>
  <si>
    <t>外貨建て仕入明細書の明細文書ヘッダの課税分類（標準税率、軽減税率）を識別するコード</t>
  </si>
  <si>
    <t>（日本円換算）明細文書ヘッダ課税分類コード</t>
  </si>
  <si>
    <t>SIID268</t>
  </si>
  <si>
    <t>SIID472</t>
  </si>
  <si>
    <t>金額/＠通貨コード値
＝JPY（日本円）</t>
  </si>
  <si>
    <t xml:space="preserve">
属性コード値
固定入力
</t>
  </si>
  <si>
    <t>明細行の課税分類毎の税抜き譲渡資産金額の合計金額「円」
「明細文書ヘッダ課税分類譲渡資産合計金額（税抜き）(外貨）」を為替レートで「円」に換算</t>
  </si>
  <si>
    <t>（日本円換算）明細文書ヘッダ課税分類譲渡資産合計金額（税抜き）</t>
  </si>
  <si>
    <t>SIID267</t>
  </si>
  <si>
    <t>SIID471</t>
  </si>
  <si>
    <t>IBT-190</t>
  </si>
  <si>
    <t>UN01005833</t>
  </si>
  <si>
    <t>外貨建て仕入明細書の明細文書ヘッダの課税分類毎に端数処理計算した税額。
属性＝「JPY」
外貨建て仕入明細書の明細文書ヘッダ課税分類資産譲渡合計金額×税率
算出した税額は切り上げ、切り捨て、四捨五入のいずれかで処理し、税額は整数とする</t>
  </si>
  <si>
    <t>（日本円換算）明細文書ヘッダ課税分類税額</t>
  </si>
  <si>
    <t>SIID266</t>
  </si>
  <si>
    <t>IBG-38</t>
  </si>
  <si>
    <t>UN01005996</t>
  </si>
  <si>
    <t>外貨建て仕入明細書の明細文書ヘッダの税に関する情報からなるグループ
UN01005914文書通貨コード＝「外貨」、UN01005913税通貨コード＝[JPY」の場合に利用する'。（円建て請求書の場合は利用しない）</t>
  </si>
  <si>
    <t>SIGR63</t>
  </si>
  <si>
    <t>明細文書ヘッダ適用税制ID</t>
  </si>
  <si>
    <t>SIID265</t>
  </si>
  <si>
    <t>UN01013096</t>
  </si>
  <si>
    <t>v2/v3</t>
  </si>
  <si>
    <t>明細文書ヘッダの消費税額計算方式を指定するコード</t>
    <rPh sb="8" eb="16">
      <t>ショウヒゼイガクケイサンホウシキ</t>
    </rPh>
    <rPh sb="17" eb="19">
      <t>シテイ</t>
    </rPh>
    <phoneticPr fontId="0"/>
  </si>
  <si>
    <t>明細文書ヘッダ税計算方式</t>
  </si>
  <si>
    <t>SIID264</t>
  </si>
  <si>
    <t xml:space="preserve">
属性コード値
選択入力
</t>
  </si>
  <si>
    <t>通貨コード
ISO4217</t>
    <phoneticPr fontId="0"/>
  </si>
  <si>
    <t>＝明細文書ヘッダ課税分類課税対象合計金額（税抜き）＋明細文書ヘッダ課税分類税額
または
'＝明細文書ヘッダ課税分類課税対象合計金額（税込み）</t>
    <rPh sb="7" eb="9">
      <t>カゼイ</t>
    </rPh>
    <rPh sb="9" eb="11">
      <t>ブンルイ</t>
    </rPh>
    <rPh sb="11" eb="13">
      <t>カゼイ</t>
    </rPh>
    <rPh sb="13" eb="15">
      <t>タイショウ</t>
    </rPh>
    <rPh sb="15" eb="17">
      <t>ゴウケイ</t>
    </rPh>
    <rPh sb="17" eb="19">
      <t>キンガク</t>
    </rPh>
    <rPh sb="20" eb="22">
      <t>ゼイヌ</t>
    </rPh>
    <rPh sb="66" eb="67">
      <t>コ</t>
    </rPh>
    <phoneticPr fontId="0"/>
  </si>
  <si>
    <t>明細文書ヘッダ課税分類総合計金額</t>
    <rPh sb="7" eb="11">
      <t>カゼイブンルイ</t>
    </rPh>
    <rPh sb="11" eb="13">
      <t>ゴウケイ</t>
    </rPh>
    <rPh sb="13" eb="15">
      <t>キンガク</t>
    </rPh>
    <phoneticPr fontId="0"/>
  </si>
  <si>
    <t>SIID263</t>
  </si>
  <si>
    <t>IBT-119</t>
  </si>
  <si>
    <t>明細文書ヘッダヘッダの課税分類毎の税額計算のための率。</t>
    <rPh sb="11" eb="15">
      <t>カゼイブンルイ</t>
    </rPh>
    <rPh sb="15" eb="16">
      <t>ゴト</t>
    </rPh>
    <phoneticPr fontId="0"/>
  </si>
  <si>
    <t>明細文書ヘッダ税率</t>
  </si>
  <si>
    <t>SIID262</t>
  </si>
  <si>
    <t>明細文書ヘッダの課税分類（標準税率、軽減税率、不課税、非課税、免税等）の名称</t>
    <rPh sb="8" eb="12">
      <t>カゼイブンルイ</t>
    </rPh>
    <rPh sb="13" eb="17">
      <t>ヒョウジュンゼイリツ</t>
    </rPh>
    <rPh sb="18" eb="22">
      <t>ケイゲンゼイリツ</t>
    </rPh>
    <rPh sb="23" eb="26">
      <t>フカゼイ</t>
    </rPh>
    <rPh sb="27" eb="30">
      <t>ヒカゼイ</t>
    </rPh>
    <rPh sb="31" eb="33">
      <t>メンゼイ</t>
    </rPh>
    <rPh sb="33" eb="34">
      <t>トウ</t>
    </rPh>
    <rPh sb="36" eb="38">
      <t>メイショウ</t>
    </rPh>
    <phoneticPr fontId="0"/>
  </si>
  <si>
    <t>明細文書ヘッダ課税分類名</t>
    <rPh sb="11" eb="12">
      <t>メイ</t>
    </rPh>
    <phoneticPr fontId="0"/>
  </si>
  <si>
    <t>SIID261</t>
  </si>
  <si>
    <t>=「JPY」または「外貨」。デフォルトは「JPY」
文書通貨コード（UN01005914）の指定と合わせる。文書通貨コードが「外貨」を指定された場合は明細文書ヘッダ税グループ（外貨建て適格請求書用）とセットで利用する</t>
    <rPh sb="8" eb="10">
      <t>ガイカ</t>
    </rPh>
    <phoneticPr fontId="0"/>
  </si>
  <si>
    <t>課税分類税通貨コード</t>
    <rPh sb="0" eb="4">
      <t>カゼイブンルイ</t>
    </rPh>
    <rPh sb="4" eb="5">
      <t>ゼイ</t>
    </rPh>
    <rPh sb="5" eb="7">
      <t>ツウカ</t>
    </rPh>
    <phoneticPr fontId="0"/>
  </si>
  <si>
    <t>SIID260</t>
  </si>
  <si>
    <t>IBT-118</t>
  </si>
  <si>
    <t>v3</t>
  </si>
  <si>
    <t>明細文書ヘッダの課税分類（標準税率、軽減税率、不課税、非課税、免税等）を識別するコード
課税分類ごとにグループを設ける</t>
    <rPh sb="8" eb="10">
      <t>カゼイ</t>
    </rPh>
    <rPh sb="10" eb="12">
      <t>ブンルイ</t>
    </rPh>
    <rPh sb="44" eb="48">
      <t>カゼイブンルイ</t>
    </rPh>
    <rPh sb="56" eb="57">
      <t>モウ</t>
    </rPh>
    <phoneticPr fontId="0"/>
  </si>
  <si>
    <t>明細文書ヘッダ課税分類コード</t>
  </si>
  <si>
    <t>SIID259</t>
  </si>
  <si>
    <t>IBT-116</t>
  </si>
  <si>
    <t>=Σ明細行課税分類譲渡資産合計金額＋Σ明細文書ヘッダ追加請求金額ーΣ明細文書ヘッダ返金金額
「鑑ヘッダ税計算方式」のコード値指定により税抜き、税込みを識別する</t>
    <rPh sb="1" eb="4">
      <t>メイサイギョウ</t>
    </rPh>
    <rPh sb="47" eb="48">
      <t>カガミ</t>
    </rPh>
    <rPh sb="60" eb="61">
      <t>チ</t>
    </rPh>
    <rPh sb="61" eb="63">
      <t>シテイ</t>
    </rPh>
    <rPh sb="63" eb="65">
      <t>ゼイヌ</t>
    </rPh>
    <rPh sb="74" eb="76">
      <t>シキベツゼイコシキベツブンショゼイケイサンホウシキシテイ</t>
    </rPh>
    <phoneticPr fontId="0"/>
  </si>
  <si>
    <t>明細文書ヘッダ課税分類課税対象合計金額（税抜き／税込み）</t>
    <rPh sb="7" eb="11">
      <t>カゼイブンルイ</t>
    </rPh>
    <rPh sb="11" eb="15">
      <t>カゼイタイショウ</t>
    </rPh>
    <rPh sb="15" eb="17">
      <t>ゴウケイ</t>
    </rPh>
    <rPh sb="17" eb="19">
      <t>キンガク</t>
    </rPh>
    <rPh sb="20" eb="21">
      <t>ゼイ</t>
    </rPh>
    <rPh sb="21" eb="22">
      <t>ヌ</t>
    </rPh>
    <rPh sb="24" eb="26">
      <t>ゼイコミ</t>
    </rPh>
    <phoneticPr fontId="0"/>
  </si>
  <si>
    <t>SIID258</t>
  </si>
  <si>
    <t>税の種類を識別するコード。デフォルトは消費税
消費税：VAT。所得税：IND</t>
    <rPh sb="0" eb="1">
      <t>ゼイ</t>
    </rPh>
    <rPh sb="2" eb="4">
      <t>シュルイ</t>
    </rPh>
    <rPh sb="5" eb="7">
      <t>シキベツ</t>
    </rPh>
    <rPh sb="19" eb="22">
      <t>ショウヒゼイ</t>
    </rPh>
    <rPh sb="23" eb="26">
      <t>ショウヒゼイ</t>
    </rPh>
    <phoneticPr fontId="0"/>
  </si>
  <si>
    <t>明細文書ヘッダ税タイプコード</t>
  </si>
  <si>
    <t>SIID257</t>
  </si>
  <si>
    <t>IBT-117</t>
  </si>
  <si>
    <t>明細文書ヘッダの課税分類毎に端数処理計算した税額。
算出した税額は切り上げ、切り捨て、四捨五入のいずれかで処理し、税額は整数とする
＜税抜きの場合＞明細文書ヘッダ課税分類課税対象合計金額×税率
＜税込みの場合＞明細文書ヘッダ課税分類課税対象合計金額×税率／(１＋税率)</t>
    <rPh sb="85" eb="89">
      <t>カゼイタイショウ</t>
    </rPh>
    <rPh sb="116" eb="120">
      <t>カゼイタイショウゼイコミバアイゼイリツゼイリツ</t>
    </rPh>
    <phoneticPr fontId="0"/>
  </si>
  <si>
    <t>明細文書ヘッダ課税分類税額</t>
    <rPh sb="7" eb="11">
      <t>カゼイブンルイ</t>
    </rPh>
    <rPh sb="11" eb="13">
      <t>ゼイガク</t>
    </rPh>
    <phoneticPr fontId="0"/>
  </si>
  <si>
    <t>SIID256</t>
  </si>
  <si>
    <t>IBG-23</t>
  </si>
  <si>
    <t>明細文書ヘッダの税に関する情報からなるグループ</t>
  </si>
  <si>
    <t>SIGR62</t>
  </si>
  <si>
    <t>IBT-102</t>
  </si>
  <si>
    <t>明細文書ヘッダ追加請求の税率</t>
  </si>
  <si>
    <t>明細文書ヘッダ追加請求税率</t>
  </si>
  <si>
    <t>SIID255</t>
  </si>
  <si>
    <t>IBT-103</t>
  </si>
  <si>
    <t>明細文書ヘッダ追加請求の課税分類コード</t>
  </si>
  <si>
    <t>明細文書ヘッダ追加請求課税分類コード</t>
  </si>
  <si>
    <t>SIID254</t>
  </si>
  <si>
    <t>UN01005716</t>
  </si>
  <si>
    <t>明細文書ヘッダ追加請求の税グループ</t>
  </si>
  <si>
    <t>SIGR61</t>
  </si>
  <si>
    <t>IBT-100</t>
  </si>
  <si>
    <t>この明細文書ヘッダ追加請求の計算根拠となる金額</t>
  </si>
  <si>
    <t>明細文書ヘッダ追加請求計算根拠金額</t>
  </si>
  <si>
    <t>SIID253</t>
  </si>
  <si>
    <t>IBT-104</t>
  </si>
  <si>
    <t>この明細文書ヘッダ追加請求の理由（内容）の説明</t>
  </si>
  <si>
    <t>明細文書ヘッダ追加請求理由</t>
  </si>
  <si>
    <t>SIID252</t>
  </si>
  <si>
    <t>IBT-105</t>
  </si>
  <si>
    <t>この明細文書ヘッダ追加請求の理由を識別するコード</t>
  </si>
  <si>
    <t>明細文書ヘッダ追加請求理由コード</t>
  </si>
  <si>
    <t>SIID251</t>
  </si>
  <si>
    <t>IBT-099</t>
  </si>
  <si>
    <t>この明細文書ヘッダ追加請求の請求金額</t>
  </si>
  <si>
    <t>明細文書ヘッダ追加請求金額</t>
  </si>
  <si>
    <t>SIID250</t>
  </si>
  <si>
    <t>IBT-101</t>
  </si>
  <si>
    <t>この明細文書ヘッダ追加請求を計算するための率</t>
  </si>
  <si>
    <t>明細文書ヘッダ追加請求計算率</t>
  </si>
  <si>
    <t>SIID249</t>
  </si>
  <si>
    <t>Fault（Charge）</t>
  </si>
  <si>
    <t>明細文書ヘッダ返金と明細文書ヘッダ追加請求を識別する判別子
True＝Charge</t>
  </si>
  <si>
    <t>明細文書ヘッダ返金・追加請求判別子
＝追加請求（True）</t>
  </si>
  <si>
    <t>SIID248</t>
  </si>
  <si>
    <t>IBG-21</t>
  </si>
  <si>
    <t>UN01005998</t>
  </si>
  <si>
    <t>明細文書ヘッダ返金・追加請求のグループ</t>
  </si>
  <si>
    <t>SIGR60</t>
  </si>
  <si>
    <t>IBT-095</t>
  </si>
  <si>
    <t>明細文書ヘッダ返金の税率</t>
  </si>
  <si>
    <t>明細文書ヘッダ返金税率</t>
  </si>
  <si>
    <t>SIID247</t>
  </si>
  <si>
    <t>IBT-096</t>
  </si>
  <si>
    <t>明細文書ヘッダ返金の課税分類コード</t>
  </si>
  <si>
    <t>明細文書ヘッダ返金課税分類コード</t>
  </si>
  <si>
    <t>SIID246</t>
  </si>
  <si>
    <t>明細文書ヘッダ返金の税グループ</t>
  </si>
  <si>
    <t>SIGR59</t>
  </si>
  <si>
    <t>IBT-093</t>
  </si>
  <si>
    <t>この明細文書ヘッダ返金の計算根拠となる金額</t>
  </si>
  <si>
    <t>明細文書ヘッダ返金計算根拠金額</t>
  </si>
  <si>
    <t>SIID245</t>
  </si>
  <si>
    <t>IBT-097</t>
  </si>
  <si>
    <t>この明細文書ヘッダ返金の理由（内容）の説明</t>
  </si>
  <si>
    <t>明細文書ヘッダ返金理由</t>
  </si>
  <si>
    <t>SIID244</t>
  </si>
  <si>
    <t>IBT-098</t>
  </si>
  <si>
    <t>この明細文書ヘッダ返金の理由を識別するコード</t>
  </si>
  <si>
    <t>明細文書ヘッダ返金理由コード</t>
  </si>
  <si>
    <t>SIID243</t>
  </si>
  <si>
    <t>IBT-092</t>
  </si>
  <si>
    <t>この明細文書ヘッダ返金の請求金額</t>
  </si>
  <si>
    <t>明細文書ヘッダ返金金額</t>
  </si>
  <si>
    <t>SIID242</t>
  </si>
  <si>
    <t>IBT-094</t>
  </si>
  <si>
    <t>この明細文書ヘッダ返金を計算するための率</t>
  </si>
  <si>
    <t>明細文書ヘッダ返金計算率</t>
  </si>
  <si>
    <t>SIID241</t>
  </si>
  <si>
    <t>明細文書ヘッダ返金と明細文書ヘッダ追加請求を識別する判別子
属性：Fault=Allowance</t>
  </si>
  <si>
    <t>明細文書ヘッダ返金・追加請求判別子
＝返金（Fault）</t>
  </si>
  <si>
    <t>SIID240</t>
  </si>
  <si>
    <t>IBG-20</t>
  </si>
  <si>
    <t>明細文書ヘッダ返金のグループ</t>
  </si>
  <si>
    <t>SIGR58</t>
  </si>
  <si>
    <t>UN01014647</t>
  </si>
  <si>
    <t>この明細文書ヘッダの取引方向を識別するコード
デフォルトは「プラス」</t>
  </si>
  <si>
    <t>明細文書ヘッダ取引方向コード</t>
  </si>
  <si>
    <t>SIID239</t>
  </si>
  <si>
    <t>UN01005992</t>
  </si>
  <si>
    <t>明細文書ヘッダの決済に関する情報からなるグループ。</t>
  </si>
  <si>
    <t>SIGR57</t>
  </si>
  <si>
    <t>この明細文書ヘッダが参照する出荷回答書の文書サブタイプを識別するコード＝[63201](出荷回答書：デフォルト）</t>
  </si>
  <si>
    <t>DRID8</t>
    <phoneticPr fontId="0"/>
  </si>
  <si>
    <t>この明細文書ヘッダが参照する出荷回答書の文書タイプを識別するコード
＝「632」（Goods receipt）（デフォルト）</t>
  </si>
  <si>
    <t>DRID3</t>
    <phoneticPr fontId="0"/>
  </si>
  <si>
    <t>この明細文書ヘッダが参照する出荷回答書の変更履歴を管理するID。</t>
  </si>
  <si>
    <t>（明細文書ヘッダ参照）出荷回答書履歴ID</t>
  </si>
  <si>
    <t>DRID6</t>
    <phoneticPr fontId="0"/>
  </si>
  <si>
    <t>ヘッダ部</t>
    <phoneticPr fontId="0"/>
  </si>
  <si>
    <t>この明細文書が参照する出回答書の発行日</t>
    <rPh sb="4" eb="6">
      <t>ブンショ</t>
    </rPh>
    <rPh sb="11" eb="12">
      <t>デ</t>
    </rPh>
    <rPh sb="12" eb="14">
      <t>カイトウ</t>
    </rPh>
    <rPh sb="14" eb="15">
      <t>ショ</t>
    </rPh>
    <rPh sb="16" eb="18">
      <t>ハッコウ</t>
    </rPh>
    <phoneticPr fontId="0"/>
  </si>
  <si>
    <t>（明細文書ヘッダ参照）出荷回答書発行日</t>
    <rPh sb="3" eb="5">
      <t>ブンショ</t>
    </rPh>
    <rPh sb="11" eb="13">
      <t>シュッカ</t>
    </rPh>
    <rPh sb="13" eb="15">
      <t>カイトウ</t>
    </rPh>
    <rPh sb="15" eb="16">
      <t>ショ</t>
    </rPh>
    <phoneticPr fontId="0"/>
  </si>
  <si>
    <t>DRID4</t>
    <phoneticPr fontId="0"/>
  </si>
  <si>
    <t>ヘッダ部</t>
    <rPh sb="3" eb="4">
      <t>ブ</t>
    </rPh>
    <phoneticPr fontId="0"/>
  </si>
  <si>
    <t>この明細文書が参照する出荷回答書が所在するURL_ID</t>
    <rPh sb="4" eb="5">
      <t>ブン</t>
    </rPh>
    <rPh sb="5" eb="6">
      <t>ショ</t>
    </rPh>
    <rPh sb="11" eb="13">
      <t>シュッカ</t>
    </rPh>
    <rPh sb="13" eb="16">
      <t>カイトウショ</t>
    </rPh>
    <rPh sb="17" eb="19">
      <t>ショザイ</t>
    </rPh>
    <phoneticPr fontId="0"/>
  </si>
  <si>
    <t>（明細文書ヘッダ参照）出荷回答書URL_ID</t>
    <rPh sb="3" eb="5">
      <t>ブンショ</t>
    </rPh>
    <rPh sb="11" eb="13">
      <t>シュッカ</t>
    </rPh>
    <rPh sb="13" eb="15">
      <t>カイトウ</t>
    </rPh>
    <rPh sb="15" eb="16">
      <t>ショ</t>
    </rPh>
    <phoneticPr fontId="0"/>
  </si>
  <si>
    <t>IID451</t>
  </si>
  <si>
    <t>IBT-015</t>
  </si>
  <si>
    <t>この明細文書ヘッダが参照する発注者が付番した出荷回答書ID</t>
  </si>
  <si>
    <t>（明細文書ヘッダ参照）出荷回答書ID</t>
  </si>
  <si>
    <t>DRID1</t>
    <phoneticPr fontId="0"/>
  </si>
  <si>
    <t>UN01006040</t>
  </si>
  <si>
    <t>明細文書ヘッダが参照する出荷回答書のグループ</t>
  </si>
  <si>
    <t>SIGR56</t>
    <phoneticPr fontId="0"/>
  </si>
  <si>
    <t>この明細文書ヘッダが参照する出荷案内書の文書サブタイプを識別するコード
＝[35101](一般納品書：デフォルト）</t>
  </si>
  <si>
    <t>DID8</t>
  </si>
  <si>
    <t>UN01013318</t>
  </si>
  <si>
    <t>この明細文書ヘッダが参照する出荷案内書の類型（適格請求書等対応、適格請求書の補完、適格請求書非適合）を識別するコード
デフォルトは「適格請求書非適合」</t>
  </si>
  <si>
    <t>（明細文書ヘッダ参照）出荷案内書類型コード</t>
    <phoneticPr fontId="0"/>
  </si>
  <si>
    <t>DID7</t>
  </si>
  <si>
    <t>この明細文書ヘッダが参照する文書の文書タイプを識別するコード
＝「351」（Despatch advice）（デフォルト）</t>
  </si>
  <si>
    <t>DID3</t>
  </si>
  <si>
    <t>この明細文書ヘッダが参照する出荷案内書の変更履歴を管理するID。</t>
  </si>
  <si>
    <t>（明細文書ヘッダ参照）出荷案内書履歴ID</t>
  </si>
  <si>
    <t>DID6</t>
  </si>
  <si>
    <t>この明細文書が参照する出荷案内書の発行日</t>
    <rPh sb="4" eb="6">
      <t>ブンショ</t>
    </rPh>
    <rPh sb="11" eb="13">
      <t>シュッカ</t>
    </rPh>
    <rPh sb="13" eb="15">
      <t>アンナイ</t>
    </rPh>
    <phoneticPr fontId="0"/>
  </si>
  <si>
    <t>（明細文書ヘッダ参照）出荷案内書発行日</t>
    <rPh sb="3" eb="5">
      <t>ブンショ</t>
    </rPh>
    <rPh sb="11" eb="13">
      <t>シュッカ</t>
    </rPh>
    <rPh sb="13" eb="15">
      <t>アンナイ</t>
    </rPh>
    <phoneticPr fontId="0"/>
  </si>
  <si>
    <t>DID4</t>
  </si>
  <si>
    <t>この明細文書が参照する出荷案内書が所在するURL_ID</t>
    <rPh sb="4" eb="5">
      <t>ブン</t>
    </rPh>
    <rPh sb="5" eb="6">
      <t>ショ</t>
    </rPh>
    <rPh sb="11" eb="13">
      <t>シュッカ</t>
    </rPh>
    <rPh sb="13" eb="16">
      <t>アンナイショ</t>
    </rPh>
    <rPh sb="17" eb="19">
      <t>ショザイ</t>
    </rPh>
    <phoneticPr fontId="0"/>
  </si>
  <si>
    <t>（明細文書ヘッダ参照）出荷案内書URL_ID</t>
    <rPh sb="3" eb="5">
      <t>ブンショ</t>
    </rPh>
    <rPh sb="11" eb="13">
      <t>シュッカ</t>
    </rPh>
    <rPh sb="13" eb="15">
      <t>アンナイ</t>
    </rPh>
    <rPh sb="15" eb="16">
      <t>ショ</t>
    </rPh>
    <phoneticPr fontId="0"/>
  </si>
  <si>
    <t>IID449</t>
    <phoneticPr fontId="0"/>
  </si>
  <si>
    <t>IBT-016</t>
  </si>
  <si>
    <t>この明細文書ヘッダが参照する受注者が付番した出荷案内書ID</t>
  </si>
  <si>
    <t>（明細文書ヘッダ参照）出荷案内書ID</t>
  </si>
  <si>
    <t>DID1</t>
  </si>
  <si>
    <t>UN01006039</t>
  </si>
  <si>
    <t>明細文書ヘッダが参照する出荷案内書のグループ</t>
  </si>
  <si>
    <t>SIGR55</t>
    <phoneticPr fontId="0"/>
  </si>
  <si>
    <t>受領日</t>
    <rPh sb="0" eb="2">
      <t>ジュリョウ</t>
    </rPh>
    <phoneticPr fontId="0"/>
  </si>
  <si>
    <t>SIID494</t>
    <phoneticPr fontId="0"/>
  </si>
  <si>
    <t>UN01005987</t>
    <phoneticPr fontId="0"/>
  </si>
  <si>
    <t>受領にかかわるイベントのグループ</t>
    <rPh sb="0" eb="2">
      <t>ジュリョウ</t>
    </rPh>
    <phoneticPr fontId="0"/>
  </si>
  <si>
    <t>SIGR104</t>
    <phoneticPr fontId="0"/>
  </si>
  <si>
    <t>出荷日</t>
    <rPh sb="0" eb="2">
      <t>シュッカ</t>
    </rPh>
    <phoneticPr fontId="0"/>
  </si>
  <si>
    <t>IID229</t>
  </si>
  <si>
    <t>UN01005986</t>
  </si>
  <si>
    <t>出荷にかかわるイベントのグループ</t>
    <rPh sb="0" eb="2">
      <t>シュッカ</t>
    </rPh>
    <phoneticPr fontId="0"/>
  </si>
  <si>
    <t>IGR54</t>
    <phoneticPr fontId="0"/>
  </si>
  <si>
    <t>IBT-080</t>
  </si>
  <si>
    <t>UN01005700</t>
  </si>
  <si>
    <t>納入先の国ID。デフォルトは「JP」</t>
  </si>
  <si>
    <t>納入先国ID</t>
  </si>
  <si>
    <t>IID228</t>
  </si>
  <si>
    <t>IBT-165</t>
  </si>
  <si>
    <t>UN01005694</t>
  </si>
  <si>
    <t>納入先の住所3行目。</t>
  </si>
  <si>
    <t>納入先住所3</t>
  </si>
  <si>
    <t>IID227</t>
  </si>
  <si>
    <t>IBT-076</t>
  </si>
  <si>
    <t>UN01005693</t>
  </si>
  <si>
    <t>納入先の住所2行目。</t>
  </si>
  <si>
    <t>納入先住所2</t>
  </si>
  <si>
    <t>IID226</t>
  </si>
  <si>
    <t>IBT-075</t>
  </si>
  <si>
    <t>UN01005692</t>
  </si>
  <si>
    <t>納入先の住所1行目</t>
  </si>
  <si>
    <t>納入先住所1</t>
  </si>
  <si>
    <t>IID225</t>
  </si>
  <si>
    <t>IBT-078</t>
  </si>
  <si>
    <t>UN01005689</t>
  </si>
  <si>
    <t>納入先の郵便番号</t>
  </si>
  <si>
    <t>納入先郵便番号</t>
  </si>
  <si>
    <t>IID224</t>
  </si>
  <si>
    <t>IBG-15</t>
  </si>
  <si>
    <t>UN01005762</t>
  </si>
  <si>
    <t>住所に関する情報からなるグループ。</t>
  </si>
  <si>
    <t>IGR53</t>
  </si>
  <si>
    <t>IBT-070</t>
  </si>
  <si>
    <t>UN01005759</t>
  </si>
  <si>
    <t>納入先の企業/工場・事業所・事業部門等の名称</t>
  </si>
  <si>
    <t>納入先名称</t>
  </si>
  <si>
    <t>IID223</t>
  </si>
  <si>
    <t>IBT-071</t>
  </si>
  <si>
    <t>ISO6523</t>
  </si>
  <si>
    <t>UN01005758</t>
  </si>
  <si>
    <t>納入先企業を表す国際企業ID。</t>
  </si>
  <si>
    <t>納入先国際企業ID</t>
  </si>
  <si>
    <t>IID222</t>
  </si>
  <si>
    <t>UN01005757</t>
  </si>
  <si>
    <t>納入先の企業/工場・事業所・事業部門等を表す発注者が付与したID。</t>
  </si>
  <si>
    <t>納入先ID</t>
  </si>
  <si>
    <t>IID221</t>
  </si>
  <si>
    <t>UN01005980</t>
  </si>
  <si>
    <t>納入先に関する情報からなるグループ。</t>
  </si>
  <si>
    <t>IGR52</t>
  </si>
  <si>
    <t>この明細明細文書ヘッダが参照する契約書の変更履歴を管理するID。</t>
    <rPh sb="2" eb="4">
      <t>メイサイ</t>
    </rPh>
    <phoneticPr fontId="0"/>
  </si>
  <si>
    <t>（明細文書ヘッダ参照）契約書履歴ID</t>
  </si>
  <si>
    <t>IID220</t>
  </si>
  <si>
    <t>この明細文書が参照する契約書の発行日</t>
    <rPh sb="4" eb="6">
      <t>ブンショ</t>
    </rPh>
    <rPh sb="11" eb="13">
      <t>ケイヤク</t>
    </rPh>
    <rPh sb="13" eb="14">
      <t>ショ</t>
    </rPh>
    <phoneticPr fontId="0"/>
  </si>
  <si>
    <t>（明細文書ヘッダ参照）契約文書発行日</t>
    <rPh sb="3" eb="5">
      <t>ブンショ</t>
    </rPh>
    <rPh sb="11" eb="13">
      <t>ケイヤク</t>
    </rPh>
    <rPh sb="13" eb="14">
      <t>ブン</t>
    </rPh>
    <rPh sb="14" eb="15">
      <t>ショ</t>
    </rPh>
    <phoneticPr fontId="0"/>
  </si>
  <si>
    <t>IID448</t>
  </si>
  <si>
    <t>この明細文書が参照する契約書が所在するURL_ID</t>
    <rPh sb="4" eb="5">
      <t>ブン</t>
    </rPh>
    <rPh sb="5" eb="6">
      <t>ショ</t>
    </rPh>
    <rPh sb="11" eb="13">
      <t>ケイヤク</t>
    </rPh>
    <rPh sb="13" eb="14">
      <t>ショ</t>
    </rPh>
    <rPh sb="15" eb="17">
      <t>ショザイ</t>
    </rPh>
    <phoneticPr fontId="0"/>
  </si>
  <si>
    <t>（明細文書ヘッダ参照）契約文書URL_ID</t>
    <rPh sb="3" eb="5">
      <t>ブンショ</t>
    </rPh>
    <rPh sb="11" eb="13">
      <t>ケイヤク</t>
    </rPh>
    <rPh sb="13" eb="15">
      <t>ブンショ</t>
    </rPh>
    <rPh sb="14" eb="15">
      <t>ショ</t>
    </rPh>
    <phoneticPr fontId="0"/>
  </si>
  <si>
    <t>IID447</t>
  </si>
  <si>
    <t>IBT-012</t>
  </si>
  <si>
    <t>この明細文書ヘッダが参照する契約書に記載の文書ID</t>
  </si>
  <si>
    <t>（明細文書ヘッダ参照）契約文書ID</t>
  </si>
  <si>
    <t>IID219</t>
  </si>
  <si>
    <t>UN01005963</t>
  </si>
  <si>
    <t>明細文書ヘッダが参照する契約文書に関る情報からなるグループ。</t>
  </si>
  <si>
    <t>IGR51</t>
  </si>
  <si>
    <t>この明細文書ヘッダが参照する注文書の変更履歴を管理するID。</t>
  </si>
  <si>
    <t>（明細文書ヘッダ参照）注文書履歴ID</t>
  </si>
  <si>
    <t>OID7</t>
  </si>
  <si>
    <t>この明細文書が参照する注文書の発行日</t>
    <rPh sb="4" eb="6">
      <t>ブンショ</t>
    </rPh>
    <rPh sb="11" eb="13">
      <t>チュウモン</t>
    </rPh>
    <rPh sb="13" eb="14">
      <t>ショ</t>
    </rPh>
    <phoneticPr fontId="0"/>
  </si>
  <si>
    <t>（明細文書ヘッダ参照）注文書発行日</t>
    <rPh sb="3" eb="5">
      <t>ブンショ</t>
    </rPh>
    <rPh sb="11" eb="13">
      <t>チュウモン</t>
    </rPh>
    <rPh sb="13" eb="14">
      <t>ショ</t>
    </rPh>
    <phoneticPr fontId="0"/>
  </si>
  <si>
    <t>OID4</t>
  </si>
  <si>
    <t>この明細文書が参照する注文書が所在するURL_ID</t>
    <rPh sb="4" eb="5">
      <t>ブン</t>
    </rPh>
    <rPh sb="5" eb="6">
      <t>ショ</t>
    </rPh>
    <rPh sb="11" eb="13">
      <t>チュウモン</t>
    </rPh>
    <rPh sb="13" eb="14">
      <t>ショ</t>
    </rPh>
    <rPh sb="15" eb="17">
      <t>ショザイ</t>
    </rPh>
    <phoneticPr fontId="0"/>
  </si>
  <si>
    <t>（明細文書ヘッダ参照）注文書URL_ID</t>
    <rPh sb="3" eb="5">
      <t>ブンショ</t>
    </rPh>
    <rPh sb="11" eb="13">
      <t>チュウモン</t>
    </rPh>
    <rPh sb="13" eb="14">
      <t>ショ</t>
    </rPh>
    <phoneticPr fontId="0"/>
  </si>
  <si>
    <t>IID445</t>
  </si>
  <si>
    <t>IBT-013</t>
  </si>
  <si>
    <t>この明細文書ヘッダが参照する注文書に記載の文書ID。</t>
  </si>
  <si>
    <t>（明細文書ヘッダ参照）注文書ID</t>
  </si>
  <si>
    <t>OID1</t>
  </si>
  <si>
    <t>UN01005961</t>
  </si>
  <si>
    <t>明細文書ヘッダが参照する注文書に関する情報からなるグループ。</t>
  </si>
  <si>
    <t>SIGR50</t>
    <phoneticPr fontId="0"/>
  </si>
  <si>
    <t>この明細文書ヘッダが参照する受注書の変更履歴を管理するID。</t>
  </si>
  <si>
    <t>（明細文書ヘッダ参照）受注書履歴ID</t>
  </si>
  <si>
    <t>この明細文書が参照する受注書の発行日</t>
    <rPh sb="4" eb="6">
      <t>ブンショ</t>
    </rPh>
    <rPh sb="11" eb="13">
      <t>ジュチュウ</t>
    </rPh>
    <rPh sb="13" eb="14">
      <t>ショ</t>
    </rPh>
    <phoneticPr fontId="0"/>
  </si>
  <si>
    <t>（明細文書ヘッダ参照）受注書発行日</t>
    <rPh sb="3" eb="5">
      <t>ブンショ</t>
    </rPh>
    <rPh sb="11" eb="13">
      <t>ジュチュウ</t>
    </rPh>
    <rPh sb="13" eb="14">
      <t>ショ</t>
    </rPh>
    <phoneticPr fontId="0"/>
  </si>
  <si>
    <t>この明細文書が参照する受注書が所在するURL_ID</t>
    <rPh sb="4" eb="5">
      <t>ブン</t>
    </rPh>
    <rPh sb="5" eb="6">
      <t>ショ</t>
    </rPh>
    <rPh sb="11" eb="13">
      <t>ジュチュウ</t>
    </rPh>
    <rPh sb="13" eb="14">
      <t>ショ</t>
    </rPh>
    <rPh sb="15" eb="17">
      <t>ショザイ</t>
    </rPh>
    <phoneticPr fontId="0"/>
  </si>
  <si>
    <t>（明細文書ヘッダ参照）受注書URL_ID</t>
    <rPh sb="3" eb="5">
      <t>ブンショ</t>
    </rPh>
    <rPh sb="11" eb="13">
      <t>ジュチュウ</t>
    </rPh>
    <rPh sb="13" eb="14">
      <t>ショ</t>
    </rPh>
    <phoneticPr fontId="0"/>
  </si>
  <si>
    <t>IID443</t>
    <phoneticPr fontId="0"/>
  </si>
  <si>
    <t>IBT-014</t>
  </si>
  <si>
    <t>この明細文書ヘッダが参照する受注書に記載の文書ID</t>
  </si>
  <si>
    <t>（明細文書ヘッダ参照）受注書ID</t>
  </si>
  <si>
    <t>UN01005960</t>
  </si>
  <si>
    <t>明細文書ヘッダ契約が参照する受注書に関する情報からなるグループ。</t>
  </si>
  <si>
    <t>SIGR49</t>
    <phoneticPr fontId="0"/>
  </si>
  <si>
    <t>デフォルト＝38921
コア仕入明細書</t>
    <rPh sb="14" eb="18">
      <t>シイレメイサイ</t>
    </rPh>
    <phoneticPr fontId="0"/>
  </si>
  <si>
    <t>この統合文書が統合する明細文書の文書サブタイプを識別するコード</t>
  </si>
  <si>
    <t>組込み明細文書サブタイプコード</t>
  </si>
  <si>
    <t>SIID214</t>
  </si>
  <si>
    <t>デフォルト＝389
（コア仕入明細書）</t>
    <rPh sb="13" eb="17">
      <t>シイレメイサイ</t>
    </rPh>
    <phoneticPr fontId="0"/>
  </si>
  <si>
    <t>この統合文書が統合する明細文書の文書タイプを識別するコード</t>
  </si>
  <si>
    <t>組込み明細文書タイプコード</t>
  </si>
  <si>
    <t>SIID213</t>
  </si>
  <si>
    <t>この統合文書が統合する明細文書の変更履歴を管理するID。</t>
  </si>
  <si>
    <t>組込み明細文書履歴ID</t>
  </si>
  <si>
    <t>SIID212</t>
  </si>
  <si>
    <t>この統合文書が統合する明細文書の発行日</t>
  </si>
  <si>
    <t>組込み明細文書発行日</t>
  </si>
  <si>
    <t>SIID211</t>
  </si>
  <si>
    <t>この統合文書が統合する明細文書の文書ID</t>
  </si>
  <si>
    <t>組込み明細文書ID</t>
  </si>
  <si>
    <t>SIID210</t>
  </si>
  <si>
    <t>UN01014895</t>
  </si>
  <si>
    <t>この統合文書が統合する明細文書に関する情報からなるグループ</t>
  </si>
  <si>
    <t>SIGR48</t>
  </si>
  <si>
    <t>明細文書ヘッダ注釈の識別ID
共通EDIプロバイダがシリアル番号をセット。標準仕様書３．３．５項参照</t>
  </si>
  <si>
    <t>明細文書ヘッダ注釈ID</t>
  </si>
  <si>
    <t>SIID209</t>
  </si>
  <si>
    <t>明細文書ヘッダの注釈表題毎の内容情報を入力するフリースペース。
一部に利用制限あり。標準仕様書３．３．５項参照</t>
  </si>
  <si>
    <t>明細文書ヘッダ注釈内容</t>
  </si>
  <si>
    <t>SIID208</t>
  </si>
  <si>
    <t>明細文書ヘッダの注釈内容の表題を示す。
一部に利用制限あり。標準仕様書３．３．５項参照。</t>
  </si>
  <si>
    <t>明細文書ヘッダ注釈表題</t>
  </si>
  <si>
    <t>SIID207</t>
  </si>
  <si>
    <t>UN01005957</t>
  </si>
  <si>
    <t>明細文書ヘッダの注釈を記述するグループ</t>
  </si>
  <si>
    <t>SIGR47</t>
  </si>
  <si>
    <t>この明細文書の仕入明細回答理由の説明</t>
    <rPh sb="2" eb="6">
      <t>メイサイブンショ</t>
    </rPh>
    <rPh sb="7" eb="11">
      <t>シイレメイサイ</t>
    </rPh>
    <rPh sb="11" eb="13">
      <t>カイトウ</t>
    </rPh>
    <rPh sb="13" eb="15">
      <t>リユウ</t>
    </rPh>
    <rPh sb="16" eb="18">
      <t>セツメイ</t>
    </rPh>
    <phoneticPr fontId="0"/>
  </si>
  <si>
    <t>明細文書仕入明細回答理由</t>
    <rPh sb="0" eb="4">
      <t>メイサイブンショ</t>
    </rPh>
    <rPh sb="4" eb="8">
      <t>シイレメイサイ</t>
    </rPh>
    <rPh sb="8" eb="10">
      <t>カイトウ</t>
    </rPh>
    <rPh sb="10" eb="12">
      <t>リユウ</t>
    </rPh>
    <phoneticPr fontId="0"/>
  </si>
  <si>
    <t>SIID805</t>
  </si>
  <si>
    <t>この明細文書の仕入明細回答理由を指定するコード</t>
    <rPh sb="2" eb="6">
      <t>メイサイブンショ</t>
    </rPh>
    <rPh sb="7" eb="11">
      <t>シイレメイサイ</t>
    </rPh>
    <rPh sb="11" eb="13">
      <t>カイトウ</t>
    </rPh>
    <rPh sb="13" eb="15">
      <t>リユウ</t>
    </rPh>
    <rPh sb="16" eb="18">
      <t>シテイ</t>
    </rPh>
    <phoneticPr fontId="0"/>
  </si>
  <si>
    <t>明細文書仕入明細回答理由コード</t>
    <rPh sb="0" eb="4">
      <t>メイサイブンショ</t>
    </rPh>
    <rPh sb="4" eb="8">
      <t>シイレメイサイ</t>
    </rPh>
    <rPh sb="8" eb="10">
      <t>カイトウ</t>
    </rPh>
    <rPh sb="10" eb="12">
      <t>リユウ</t>
    </rPh>
    <phoneticPr fontId="0"/>
  </si>
  <si>
    <t>SIID804</t>
  </si>
  <si>
    <t>デフォルト
＝AP（一括確認回答）</t>
  </si>
  <si>
    <t>UN01015600</t>
  </si>
  <si>
    <t>受注者明細文書回答書の回答タイプを示すコード。回答タイプは一括確認、部分確認、一括確認不可
デフォルトは「一括確認」。</t>
  </si>
  <si>
    <t>SIID802</t>
  </si>
  <si>
    <t>デフォルト
＝11（資産譲渡）</t>
  </si>
  <si>
    <t>UN01014645</t>
  </si>
  <si>
    <t>この明細文書の取引類型（資産譲渡、補完、返金・追加請求、相殺、調整、参照等）を識別するコード。
デフォルトは資産譲渡</t>
  </si>
  <si>
    <t>明細文書類型コード</t>
  </si>
  <si>
    <t>SIID206</t>
  </si>
  <si>
    <t>UN01005954</t>
  </si>
  <si>
    <t>この統合文書に統合する複数の明細文書を特定し、識別するために付与したID。EDIプロバイダがセットする。
単一文書では「１」</t>
  </si>
  <si>
    <t>明細文書ID</t>
  </si>
  <si>
    <t>SIID205</t>
  </si>
  <si>
    <t>UN01005940</t>
  </si>
  <si>
    <t>統合文書へ統合される明細文書のグループ</t>
  </si>
  <si>
    <t>SIGR46</t>
  </si>
  <si>
    <t>IBT-182</t>
  </si>
  <si>
    <t>UNCL4279</t>
  </si>
  <si>
    <t>UN01008502</t>
    <phoneticPr fontId="0"/>
  </si>
  <si>
    <t>前払い支払条件のタイプを指定するコード</t>
    <phoneticPr fontId="0"/>
  </si>
  <si>
    <t>前払条件タイプコード</t>
    <rPh sb="0" eb="2">
      <t>マエバライ</t>
    </rPh>
    <rPh sb="2" eb="4">
      <t>ジョウケン</t>
    </rPh>
    <phoneticPr fontId="0"/>
  </si>
  <si>
    <t>SIID191</t>
  </si>
  <si>
    <t>鑑ヘッダ</t>
    <rPh sb="0" eb="1">
      <t>カガミ</t>
    </rPh>
    <phoneticPr fontId="0"/>
  </si>
  <si>
    <t xml:space="preserve">     </t>
  </si>
  <si>
    <t>UN01015596</t>
    <phoneticPr fontId="0"/>
  </si>
  <si>
    <t>前払い支払条件のグループ</t>
  </si>
  <si>
    <t>SIGR94</t>
  </si>
  <si>
    <t>インボイス文書が参照する前払文書の文書ID</t>
    <rPh sb="5" eb="7">
      <t>ブンショ</t>
    </rPh>
    <rPh sb="12" eb="14">
      <t>マエバライ</t>
    </rPh>
    <rPh sb="14" eb="16">
      <t>ブンショ</t>
    </rPh>
    <rPh sb="17" eb="19">
      <t>ブンショ</t>
    </rPh>
    <phoneticPr fontId="0"/>
  </si>
  <si>
    <t>（前払参照）文書ID</t>
    <rPh sb="1" eb="3">
      <t>マエバライ</t>
    </rPh>
    <rPh sb="6" eb="7">
      <t>ブン</t>
    </rPh>
    <phoneticPr fontId="0"/>
  </si>
  <si>
    <t>SIID406</t>
  </si>
  <si>
    <t>UN01015595</t>
  </si>
  <si>
    <t>インボイス文書が参照する前払文書の情報からなるグループ</t>
    <rPh sb="5" eb="7">
      <t>ブンショ</t>
    </rPh>
    <rPh sb="8" eb="10">
      <t>サンショウ</t>
    </rPh>
    <rPh sb="12" eb="14">
      <t>マエバライ</t>
    </rPh>
    <rPh sb="14" eb="16">
      <t>ブンショ</t>
    </rPh>
    <rPh sb="17" eb="19">
      <t>ジョウホウ</t>
    </rPh>
    <phoneticPr fontId="0"/>
  </si>
  <si>
    <t>SIGR95</t>
  </si>
  <si>
    <t>IBT-179</t>
  </si>
  <si>
    <t>UN01015593</t>
  </si>
  <si>
    <t>前払者が付与した前払ID</t>
  </si>
  <si>
    <t>前払ID</t>
  </si>
  <si>
    <t>SIID190</t>
  </si>
  <si>
    <t>IBT-181</t>
  </si>
  <si>
    <t>UN01015592</t>
  </si>
  <si>
    <t>前払金額の支払日</t>
  </si>
  <si>
    <t>前払日</t>
    <rPh sb="2" eb="3">
      <t>ニチ</t>
    </rPh>
    <phoneticPr fontId="0"/>
  </si>
  <si>
    <t>SIID189</t>
  </si>
  <si>
    <t>IBT-180</t>
  </si>
  <si>
    <t>UN01015591</t>
  </si>
  <si>
    <t>前払の金額</t>
    <phoneticPr fontId="0"/>
  </si>
  <si>
    <t>SIID188</t>
  </si>
  <si>
    <t>IBG-35</t>
  </si>
  <si>
    <t>UN01015598</t>
  </si>
  <si>
    <t>前払に関するグループ</t>
  </si>
  <si>
    <t>SIGR43</t>
  </si>
  <si>
    <t>UN01008445</t>
  </si>
  <si>
    <t>未決済繰越金額に関する今回繰越金額</t>
    <rPh sb="0" eb="3">
      <t>ミケッサイ</t>
    </rPh>
    <rPh sb="3" eb="7">
      <t>クリコシキンガク</t>
    </rPh>
    <rPh sb="8" eb="9">
      <t>カン</t>
    </rPh>
    <rPh sb="11" eb="13">
      <t>コンカイ</t>
    </rPh>
    <rPh sb="13" eb="15">
      <t>クリコシ</t>
    </rPh>
    <rPh sb="15" eb="17">
      <t>キンガク</t>
    </rPh>
    <phoneticPr fontId="0"/>
  </si>
  <si>
    <t>未決済今回繰越金額</t>
    <rPh sb="3" eb="5">
      <t>コンカイ</t>
    </rPh>
    <rPh sb="5" eb="7">
      <t>クリコシ</t>
    </rPh>
    <rPh sb="7" eb="9">
      <t>キンガク</t>
    </rPh>
    <phoneticPr fontId="5"/>
  </si>
  <si>
    <t>SIID196</t>
  </si>
  <si>
    <t>UN01005950</t>
  </si>
  <si>
    <t>前回インボイス文書総合計金額のうち、支払済合計金額
'=</t>
    <rPh sb="0" eb="2">
      <t>ゼンカイ</t>
    </rPh>
    <rPh sb="7" eb="9">
      <t>ブンショ</t>
    </rPh>
    <rPh sb="9" eb="10">
      <t>ソウ</t>
    </rPh>
    <rPh sb="10" eb="12">
      <t>ゴウケイ</t>
    </rPh>
    <rPh sb="12" eb="14">
      <t>キンガク</t>
    </rPh>
    <rPh sb="18" eb="20">
      <t>シハライ</t>
    </rPh>
    <rPh sb="20" eb="21">
      <t>スミ</t>
    </rPh>
    <rPh sb="21" eb="25">
      <t>ゴウケイキンガク</t>
    </rPh>
    <phoneticPr fontId="5"/>
  </si>
  <si>
    <t>支払済金額（前回インボイス分）</t>
    <rPh sb="0" eb="2">
      <t>シハライ</t>
    </rPh>
    <rPh sb="2" eb="3">
      <t>スミ</t>
    </rPh>
    <rPh sb="3" eb="5">
      <t>キンガク</t>
    </rPh>
    <rPh sb="6" eb="8">
      <t>ゼンカイ</t>
    </rPh>
    <rPh sb="13" eb="14">
      <t>ブン</t>
    </rPh>
    <phoneticPr fontId="5"/>
  </si>
  <si>
    <t>SIID195</t>
  </si>
  <si>
    <t xml:space="preserve">    </t>
  </si>
  <si>
    <t>UN01005948</t>
  </si>
  <si>
    <t>前回インボイス文書の総合計金額（税込み）</t>
    <rPh sb="0" eb="2">
      <t>ゼンカイ</t>
    </rPh>
    <rPh sb="7" eb="9">
      <t>ブンショ</t>
    </rPh>
    <phoneticPr fontId="0"/>
  </si>
  <si>
    <t>前回インボイス総合計金額（税込み）</t>
    <rPh sb="0" eb="2">
      <t>ゼンカイ</t>
    </rPh>
    <rPh sb="7" eb="8">
      <t>ソウ</t>
    </rPh>
    <rPh sb="13" eb="15">
      <t>ゼイコ</t>
    </rPh>
    <phoneticPr fontId="3"/>
  </si>
  <si>
    <t>SIID194</t>
  </si>
  <si>
    <t>UN01015492</t>
  </si>
  <si>
    <t>未決済合計金額に関する情報からなるグループ</t>
    <rPh sb="3" eb="5">
      <t>ゴウケイ</t>
    </rPh>
    <phoneticPr fontId="0"/>
  </si>
  <si>
    <t>SIGR44</t>
  </si>
  <si>
    <t>=SWT</t>
    <phoneticPr fontId="0"/>
  </si>
  <si>
    <t>税の種類を識別するコード
'=SWT(源泉所得税 )</t>
    <rPh sb="0" eb="1">
      <t>ゼイ</t>
    </rPh>
    <rPh sb="2" eb="4">
      <t>シュルイ</t>
    </rPh>
    <rPh sb="5" eb="7">
      <t>シキベツ</t>
    </rPh>
    <rPh sb="19" eb="24">
      <t>ゲンセンショトクゼイ</t>
    </rPh>
    <phoneticPr fontId="0"/>
  </si>
  <si>
    <t>鑑ヘッダ調整税（源泉所得税）タイプコード</t>
    <rPh sb="0" eb="1">
      <t>カガミ</t>
    </rPh>
    <rPh sb="4" eb="6">
      <t>チョウセイ</t>
    </rPh>
    <rPh sb="8" eb="13">
      <t>ゲンセンショトクゼイ</t>
    </rPh>
    <phoneticPr fontId="2"/>
  </si>
  <si>
    <t>SIID441</t>
  </si>
  <si>
    <t>鑑ヘッダ調整の源泉所得税グループ</t>
    <rPh sb="4" eb="6">
      <t>チョウセイ</t>
    </rPh>
    <rPh sb="7" eb="9">
      <t>ゲンセン</t>
    </rPh>
    <rPh sb="9" eb="12">
      <t>ショトクゼイ</t>
    </rPh>
    <phoneticPr fontId="0"/>
  </si>
  <si>
    <t>鑑ヘッダ調整税(源泉所得税)グループ</t>
    <rPh sb="4" eb="6">
      <t>チョウセイ</t>
    </rPh>
    <rPh sb="6" eb="7">
      <t>ゼイ</t>
    </rPh>
    <rPh sb="8" eb="13">
      <t>ゲンセンショトクゼイ</t>
    </rPh>
    <phoneticPr fontId="0"/>
  </si>
  <si>
    <t>SIGR101</t>
  </si>
  <si>
    <t>■</t>
    <phoneticPr fontId="0"/>
  </si>
  <si>
    <t>鑑ヘッダ調整金額（鑑ヘッダで減額処理）</t>
    <phoneticPr fontId="0"/>
  </si>
  <si>
    <t>鑑ヘッダ調整金額（源泉所得税合計額）</t>
    <rPh sb="4" eb="6">
      <t>チョウセイ</t>
    </rPh>
    <rPh sb="6" eb="8">
      <t>キンガク</t>
    </rPh>
    <rPh sb="9" eb="14">
      <t>ゲンセンショトクゼイ</t>
    </rPh>
    <rPh sb="14" eb="17">
      <t>ゴウケイガク</t>
    </rPh>
    <phoneticPr fontId="0"/>
  </si>
  <si>
    <t>SIID440</t>
  </si>
  <si>
    <t>鑑ヘッダ調整（源泉所得税）の内容説明</t>
    <rPh sb="4" eb="6">
      <t>チョウセイ</t>
    </rPh>
    <rPh sb="7" eb="9">
      <t>ゲンセン</t>
    </rPh>
    <rPh sb="9" eb="12">
      <t>ショトクゼイ</t>
    </rPh>
    <rPh sb="14" eb="16">
      <t>ナイヨウ</t>
    </rPh>
    <rPh sb="16" eb="18">
      <t>セツメイ</t>
    </rPh>
    <phoneticPr fontId="0"/>
  </si>
  <si>
    <t>鑑ヘッダ調整理由（源泉所得税）</t>
    <rPh sb="4" eb="6">
      <t>チョウセイ</t>
    </rPh>
    <rPh sb="6" eb="8">
      <t>リユウ</t>
    </rPh>
    <rPh sb="9" eb="11">
      <t>ゲンセン</t>
    </rPh>
    <rPh sb="11" eb="14">
      <t>ショトクゼイ</t>
    </rPh>
    <phoneticPr fontId="0"/>
  </si>
  <si>
    <t>SIID439</t>
  </si>
  <si>
    <t>=26</t>
    <phoneticPr fontId="0"/>
  </si>
  <si>
    <t>鑑ヘッダ調整金額の内容を識別するコード
=26（源泉所得税）</t>
    <rPh sb="4" eb="6">
      <t>チョウセイ</t>
    </rPh>
    <rPh sb="24" eb="29">
      <t>ゲンセンショトクゼイ</t>
    </rPh>
    <phoneticPr fontId="0"/>
  </si>
  <si>
    <t>鑑ヘッダ調整理由コード（源泉所得税）</t>
    <rPh sb="4" eb="6">
      <t>チョウセイ</t>
    </rPh>
    <rPh sb="12" eb="17">
      <t>ゲンセンショトクゼイ</t>
    </rPh>
    <phoneticPr fontId="0"/>
  </si>
  <si>
    <t>SIID438</t>
  </si>
  <si>
    <t>UN01005931</t>
  </si>
  <si>
    <t>鑑ヘッダ調整（源泉所得税）に関する情報からなるグループ</t>
    <rPh sb="7" eb="12">
      <t>ゲンセンショトクゼイ</t>
    </rPh>
    <phoneticPr fontId="0"/>
  </si>
  <si>
    <t>鑑ヘッダ調整グループ（源泉所得税）</t>
    <rPh sb="11" eb="13">
      <t>ゲンセン</t>
    </rPh>
    <rPh sb="13" eb="16">
      <t>ショトクゼイ</t>
    </rPh>
    <phoneticPr fontId="0"/>
  </si>
  <si>
    <t>SIGR100</t>
  </si>
  <si>
    <t>鑑ヘッダ修正差額調整税率別消費税額の合計額</t>
    <rPh sb="12" eb="14">
      <t>チョウセイ</t>
    </rPh>
    <rPh sb="14" eb="17">
      <t>ゼイリツベツ</t>
    </rPh>
    <rPh sb="17" eb="19">
      <t>ショウヒ</t>
    </rPh>
    <rPh sb="19" eb="21">
      <t>ゼイガクゴウケイガク</t>
    </rPh>
    <phoneticPr fontId="0"/>
  </si>
  <si>
    <t>鑑ヘッダ修正差額調整消費税合計額（修正差額調整）</t>
    <rPh sb="10" eb="12">
      <t>ショウヒ</t>
    </rPh>
    <rPh sb="13" eb="15">
      <t>チョウセイゼイガクゴウケイガク</t>
    </rPh>
    <rPh sb="17" eb="23">
      <t>シュウセイサガクチョウセイ</t>
    </rPh>
    <phoneticPr fontId="0"/>
  </si>
  <si>
    <t>SIID424</t>
  </si>
  <si>
    <t>鑑ヘッダ</t>
  </si>
  <si>
    <t>コード値
選択入力</t>
    <rPh sb="5" eb="7">
      <t>センタク</t>
    </rPh>
    <rPh sb="7" eb="9">
      <t>ニュウリョク</t>
    </rPh>
    <phoneticPr fontId="0"/>
  </si>
  <si>
    <t>鑑ヘッダ調整の課税分類コード</t>
    <rPh sb="4" eb="6">
      <t>チョウセイ</t>
    </rPh>
    <rPh sb="7" eb="11">
      <t>カゼイブンルイ</t>
    </rPh>
    <phoneticPr fontId="0"/>
  </si>
  <si>
    <t>鑑ヘッダ調整課税分類コード（修正差額調整）</t>
    <rPh sb="4" eb="6">
      <t>チョウセイ</t>
    </rPh>
    <rPh sb="6" eb="10">
      <t>カゼイブンルイ</t>
    </rPh>
    <rPh sb="14" eb="20">
      <t>シュウセイサガクチョウセイ</t>
    </rPh>
    <phoneticPr fontId="0"/>
  </si>
  <si>
    <t>SIID187</t>
  </si>
  <si>
    <t>0..１</t>
    <phoneticPr fontId="0"/>
  </si>
  <si>
    <t>＝Σ明細行調整金額（税率別）</t>
    <rPh sb="10" eb="13">
      <t>ゼイリツベツ</t>
    </rPh>
    <phoneticPr fontId="0"/>
  </si>
  <si>
    <t>鑑ヘッダ修正差額調整税率別課税資産合計金額（修正差額調整）</t>
    <rPh sb="12" eb="14">
      <t>チョウセイ</t>
    </rPh>
    <rPh sb="14" eb="17">
      <t>ゼイリツベツ</t>
    </rPh>
    <rPh sb="17" eb="19">
      <t>カゼイ</t>
    </rPh>
    <rPh sb="19" eb="21">
      <t>シサンゴウケイキンガク</t>
    </rPh>
    <rPh sb="22" eb="28">
      <t>シュウセイサガクチョウセイ</t>
    </rPh>
    <phoneticPr fontId="0"/>
  </si>
  <si>
    <t>SIID407</t>
  </si>
  <si>
    <t>鑑ヘッダ調整の税率</t>
    <rPh sb="4" eb="6">
      <t>チョウセイ</t>
    </rPh>
    <rPh sb="7" eb="9">
      <t>ゼイリツ</t>
    </rPh>
    <phoneticPr fontId="0"/>
  </si>
  <si>
    <t>SIID186</t>
  </si>
  <si>
    <t>＜鑑ヘッダ調整理由コード=62（修正差額調整）＞
鑑ヘッダの修正差額調整税額＝修正インボイス税額ー前回インボイス税額
＝Σ明細行調整金額（税抜き）×税率
または
＝Σ明細行調整金額（税込み）×1/(1+税率)</t>
    <rPh sb="43" eb="45">
      <t>シュウセイ</t>
    </rPh>
    <rPh sb="53" eb="55">
      <t>ゼンカイ</t>
    </rPh>
    <rPh sb="65" eb="68">
      <t>メイサイギョウ</t>
    </rPh>
    <rPh sb="68" eb="72">
      <t>チョウセイキンガク</t>
    </rPh>
    <rPh sb="73" eb="75">
      <t>ゼイヌ</t>
    </rPh>
    <rPh sb="78" eb="80">
      <t>ゼイリツ</t>
    </rPh>
    <rPh sb="87" eb="90">
      <t>メイサイギョウ</t>
    </rPh>
    <rPh sb="90" eb="94">
      <t>チョウセイキンガク</t>
    </rPh>
    <rPh sb="95" eb="97">
      <t>ゼイコ</t>
    </rPh>
    <phoneticPr fontId="0"/>
  </si>
  <si>
    <t>SIID185</t>
  </si>
  <si>
    <t>鑑ヘッダ調整の税率別税グループ</t>
    <rPh sb="4" eb="6">
      <t>チョウセイ</t>
    </rPh>
    <phoneticPr fontId="0"/>
  </si>
  <si>
    <t>SIGR42</t>
  </si>
  <si>
    <t>UN01014649</t>
  </si>
  <si>
    <t>鑑ヘッダ調整額の＋ーを識別するコード
マイナス金額を許容しない場合は必須</t>
    <rPh sb="4" eb="7">
      <t>チョウセイガク</t>
    </rPh>
    <rPh sb="11" eb="13">
      <t>シキベツ</t>
    </rPh>
    <phoneticPr fontId="0"/>
  </si>
  <si>
    <t>鑑ヘッダ調整取引方向コード</t>
    <rPh sb="4" eb="6">
      <t>チョウセイ</t>
    </rPh>
    <rPh sb="6" eb="8">
      <t>トリヒキ</t>
    </rPh>
    <rPh sb="8" eb="10">
      <t>ホウコウ</t>
    </rPh>
    <phoneticPr fontId="0"/>
  </si>
  <si>
    <t>SIID178</t>
  </si>
  <si>
    <t>鑑ヘッダ調整金額（鑑ヘッダで減額処理）
＜鑑ヘッダ調整理由コード=62（デフォルト）＞
　＝前回インボイス金額ー修正インボイス金額</t>
  </si>
  <si>
    <t>鑑ヘッダ調整金額（修正差額調整合計額）</t>
    <rPh sb="4" eb="6">
      <t>チョウセイ</t>
    </rPh>
    <rPh sb="6" eb="8">
      <t>キンガク</t>
    </rPh>
    <rPh sb="9" eb="13">
      <t>シュウセイサガク</t>
    </rPh>
    <rPh sb="13" eb="15">
      <t>チョウセイ</t>
    </rPh>
    <rPh sb="15" eb="18">
      <t>ゴウケイガク</t>
    </rPh>
    <phoneticPr fontId="0"/>
  </si>
  <si>
    <t>SIID177</t>
  </si>
  <si>
    <t>鑑ヘッダ調整の内容説明</t>
    <rPh sb="4" eb="6">
      <t>チョウセイ</t>
    </rPh>
    <rPh sb="7" eb="9">
      <t>ナイヨウ</t>
    </rPh>
    <rPh sb="9" eb="11">
      <t>セツメイ</t>
    </rPh>
    <phoneticPr fontId="0"/>
  </si>
  <si>
    <t>鑑ヘッダ調整理由（修正差額調整）</t>
    <rPh sb="4" eb="6">
      <t>チョウセイ</t>
    </rPh>
    <rPh sb="6" eb="8">
      <t>リユウ</t>
    </rPh>
    <rPh sb="9" eb="15">
      <t>シュウセイサガクチョウセイ</t>
    </rPh>
    <phoneticPr fontId="0"/>
  </si>
  <si>
    <t>SIID176</t>
  </si>
  <si>
    <t xml:space="preserve">  '=62</t>
    <phoneticPr fontId="0"/>
  </si>
  <si>
    <t>鑑ヘッダ調整金額の内容を識別するコード
=62（修正差額調整：デフォルト）</t>
    <rPh sb="4" eb="6">
      <t>チョウセイ</t>
    </rPh>
    <phoneticPr fontId="0"/>
  </si>
  <si>
    <t>鑑ヘッダ調整理由コード（修正差額調整）</t>
    <rPh sb="4" eb="6">
      <t>チョウセイ</t>
    </rPh>
    <rPh sb="12" eb="18">
      <t>シュウセイサガクチョウセイ</t>
    </rPh>
    <phoneticPr fontId="0"/>
  </si>
  <si>
    <t>SIID175</t>
  </si>
  <si>
    <t>鑑ヘッダ調整（修正差額調整）に関する情報からなるグループ</t>
    <rPh sb="7" eb="11">
      <t>シュウセイサガク</t>
    </rPh>
    <rPh sb="11" eb="13">
      <t>チョウセイ</t>
    </rPh>
    <phoneticPr fontId="0"/>
  </si>
  <si>
    <t>SIGR40</t>
  </si>
  <si>
    <t>UN01013091</t>
  </si>
  <si>
    <t>□</t>
    <phoneticPr fontId="0"/>
  </si>
  <si>
    <t>鑑ヘッダ譲渡資産金額総合計金額（税込み）
'＝∑文書ヘッダ譲渡資産合計金額（税込み）</t>
    <rPh sb="0" eb="1">
      <t>カガミ</t>
    </rPh>
    <rPh sb="24" eb="26">
      <t>ブンショ</t>
    </rPh>
    <phoneticPr fontId="0"/>
  </si>
  <si>
    <t>鑑ヘッダ譲渡資産合計金額(税込み)</t>
    <rPh sb="4" eb="6">
      <t>ジョウト</t>
    </rPh>
    <rPh sb="8" eb="10">
      <t>ゴウケイ</t>
    </rPh>
    <rPh sb="13" eb="14">
      <t>ゼイ</t>
    </rPh>
    <rPh sb="14" eb="15">
      <t>コ</t>
    </rPh>
    <phoneticPr fontId="2"/>
  </si>
  <si>
    <t>SIID174</t>
  </si>
  <si>
    <t>UN01008451</t>
  </si>
  <si>
    <t>鑑ヘッダ譲渡資産金額総合計金額（税抜き）＝∑文書ヘッダ譲渡資産合計金額（税抜き）</t>
    <rPh sb="22" eb="24">
      <t>ブンショ</t>
    </rPh>
    <phoneticPr fontId="0"/>
  </si>
  <si>
    <t>鑑ヘッダ譲渡資産合計金額(税抜き)</t>
    <rPh sb="4" eb="6">
      <t>ジョウト</t>
    </rPh>
    <rPh sb="8" eb="10">
      <t>ゴウケイ</t>
    </rPh>
    <rPh sb="13" eb="14">
      <t>ゼイ</t>
    </rPh>
    <rPh sb="14" eb="15">
      <t>ヌ</t>
    </rPh>
    <phoneticPr fontId="2"/>
  </si>
  <si>
    <t>SIID173</t>
  </si>
  <si>
    <t>IBT-115</t>
  </si>
  <si>
    <t>支払責務金額総合計＝Σ文書ヘッダ譲渡資産合計金額(税抜き)+Σ文書ヘッダ消費税総合計額ー前払合計金額＋未決済合計金額ーΣ鑑ヘッダ調整税額（税率別）ーΣ鑑ヘッダ調整金額</t>
    <rPh sb="11" eb="13">
      <t>ブンショ</t>
    </rPh>
    <rPh sb="31" eb="33">
      <t>ブンショ</t>
    </rPh>
    <rPh sb="71" eb="73">
      <t>マエバライ</t>
    </rPh>
    <rPh sb="73" eb="75">
      <t>ゴウケイ</t>
    </rPh>
    <rPh sb="75" eb="77">
      <t>キンガク</t>
    </rPh>
    <rPh sb="78" eb="81">
      <t>ミバライキン</t>
    </rPh>
    <rPh sb="81" eb="83">
      <t>ゴウケイキンガク</t>
    </rPh>
    <phoneticPr fontId="0"/>
  </si>
  <si>
    <t>支払責務金額総合計</t>
    <rPh sb="2" eb="4">
      <t>セキム</t>
    </rPh>
    <phoneticPr fontId="6"/>
  </si>
  <si>
    <t>SIID172</t>
  </si>
  <si>
    <t>IBT-113</t>
  </si>
  <si>
    <t>すでに前払いで支払済合計金額
'=Σ前払金額（税込み）</t>
  </si>
  <si>
    <t>前払合計金額</t>
    <rPh sb="0" eb="2">
      <t>マエバライ</t>
    </rPh>
    <rPh sb="2" eb="4">
      <t>ゴウケイ</t>
    </rPh>
    <rPh sb="4" eb="6">
      <t>キンガク</t>
    </rPh>
    <phoneticPr fontId="6"/>
  </si>
  <si>
    <t>SIID171</t>
  </si>
  <si>
    <t>インボイス文書総合計金額（税込み）</t>
    <rPh sb="7" eb="8">
      <t>ソウ</t>
    </rPh>
    <rPh sb="13" eb="15">
      <t>ゼイコ</t>
    </rPh>
    <phoneticPr fontId="2"/>
  </si>
  <si>
    <t>SIID170</t>
  </si>
  <si>
    <t>UN01005946</t>
  </si>
  <si>
    <t>鑑ヘッダ消費税総合計額</t>
    <rPh sb="0" eb="1">
      <t>カガミ</t>
    </rPh>
    <rPh sb="4" eb="6">
      <t>ショウヒ</t>
    </rPh>
    <rPh sb="7" eb="8">
      <t>ソウ</t>
    </rPh>
    <rPh sb="8" eb="10">
      <t>ゴウケイ</t>
    </rPh>
    <rPh sb="10" eb="11">
      <t>ガク</t>
    </rPh>
    <phoneticPr fontId="2"/>
  </si>
  <si>
    <t>SIID169</t>
  </si>
  <si>
    <t>UN01005944</t>
  </si>
  <si>
    <t>鑑ヘッダ返金合計金額（税抜き）</t>
    <rPh sb="0" eb="1">
      <t>カガミ</t>
    </rPh>
    <rPh sb="4" eb="6">
      <t>ヘンキン</t>
    </rPh>
    <rPh sb="6" eb="10">
      <t>ゴウケイキンガク</t>
    </rPh>
    <rPh sb="11" eb="13">
      <t>ゼイヌ</t>
    </rPh>
    <phoneticPr fontId="0"/>
  </si>
  <si>
    <t>SIID423</t>
  </si>
  <si>
    <t>UN01005943</t>
  </si>
  <si>
    <t>鑑ヘッダ追加請求合計金額（税抜き）</t>
    <rPh sb="0" eb="1">
      <t>カガミ</t>
    </rPh>
    <rPh sb="4" eb="8">
      <t>ツイカセイキュウ</t>
    </rPh>
    <rPh sb="8" eb="12">
      <t>ゴウケイキンガク</t>
    </rPh>
    <rPh sb="13" eb="15">
      <t>ゼイヌ</t>
    </rPh>
    <phoneticPr fontId="0"/>
  </si>
  <si>
    <t>SIID422</t>
  </si>
  <si>
    <t>UN01005930</t>
  </si>
  <si>
    <t>インボイス文書の鑑ヘッダ合計金額に関する情報からなるグループ</t>
  </si>
  <si>
    <t>SIGR39</t>
  </si>
  <si>
    <t>IBT-176</t>
  </si>
  <si>
    <t>UN01015539</t>
  </si>
  <si>
    <t>支払条件の金額</t>
  </si>
  <si>
    <t>支払条件金額</t>
  </si>
  <si>
    <t>SIID167</t>
  </si>
  <si>
    <t>UN01008502</t>
  </si>
  <si>
    <t>取引決済の支払条件のタイプを識別するコード</t>
  </si>
  <si>
    <t>支払条件タイプコード</t>
  </si>
  <si>
    <t>SIID166</t>
  </si>
  <si>
    <t>IBT-009</t>
  </si>
  <si>
    <t>日時様式 ISO8601</t>
  </si>
  <si>
    <t>UN01005784</t>
  </si>
  <si>
    <t>支払条件で示された支払期日</t>
  </si>
  <si>
    <t>支払期日</t>
  </si>
  <si>
    <t>SIID165</t>
  </si>
  <si>
    <t>IBT-020</t>
  </si>
  <si>
    <t>言語コード
ISO639</t>
  </si>
  <si>
    <t>UN01005783</t>
  </si>
  <si>
    <t>支払条件の文字による説明</t>
  </si>
  <si>
    <t>支払条件説明</t>
  </si>
  <si>
    <t>SIID164</t>
  </si>
  <si>
    <t>o..1</t>
  </si>
  <si>
    <t>IBT-187</t>
  </si>
  <si>
    <t>UN01005780</t>
  </si>
  <si>
    <t>支払条件のID</t>
  </si>
  <si>
    <t>支払条件ID</t>
  </si>
  <si>
    <t>SIID163</t>
  </si>
  <si>
    <t>IBG-33</t>
  </si>
  <si>
    <t>UN01005929</t>
  </si>
  <si>
    <t xml:space="preserve"> 取引決済の目的で支払が行われる、あるいは行われた条件のグループ</t>
  </si>
  <si>
    <t>IGR38</t>
  </si>
  <si>
    <t>インボイス文書の取引終了日</t>
  </si>
  <si>
    <t>鑑ヘッダ取引終了日</t>
  </si>
  <si>
    <t>SIID162</t>
  </si>
  <si>
    <t>インボイス文書の取引開始日</t>
  </si>
  <si>
    <t>鑑ヘッダ取引開始日</t>
  </si>
  <si>
    <t>SIID161</t>
  </si>
  <si>
    <t>UN01005925</t>
  </si>
  <si>
    <t>鑑ヘッダ取引期間に関する情報からなるグループ</t>
  </si>
  <si>
    <t>IGR37</t>
  </si>
  <si>
    <t>地域固有の文書のタイプを識別するコード
デフォルトは「2019」</t>
    <rPh sb="0" eb="4">
      <t>チイキコユウ</t>
    </rPh>
    <rPh sb="5" eb="7">
      <t>ブンショ</t>
    </rPh>
    <rPh sb="12" eb="14">
      <t>シキベツ</t>
    </rPh>
    <phoneticPr fontId="0"/>
  </si>
  <si>
    <t>鑑ヘッダ適用税制ID</t>
  </si>
  <si>
    <t>SIID160</t>
  </si>
  <si>
    <t>インボイス文書の「税抜き」「税込み」を識別するコード
デフォルトは「税抜き」</t>
    <rPh sb="9" eb="11">
      <t>ゼイヌキ</t>
    </rPh>
    <rPh sb="14" eb="16">
      <t>ゼイコ</t>
    </rPh>
    <rPh sb="19" eb="21">
      <t>シキベツ</t>
    </rPh>
    <rPh sb="34" eb="36">
      <t>ゼイヌキ</t>
    </rPh>
    <phoneticPr fontId="0"/>
  </si>
  <si>
    <t>鑑ヘッダ税計算方式</t>
  </si>
  <si>
    <t>SIID159</t>
  </si>
  <si>
    <t>明細文書の課税分類毎の税額積み上げ計算のための率。</t>
  </si>
  <si>
    <t>鑑ヘッダ税率</t>
  </si>
  <si>
    <t>SIID158</t>
  </si>
  <si>
    <t>消費税の課税分類（標準税率、軽減税率、非課税、免税等）の名称</t>
  </si>
  <si>
    <t>鑑ヘッダ課税分類名</t>
  </si>
  <si>
    <t>SIID157</t>
  </si>
  <si>
    <t>消費税[VAT」の課税分類（標準税率、軽減税率、非課税、免税、不課税）を識別するコード</t>
  </si>
  <si>
    <t>鑑ヘッダ課税分類コード</t>
  </si>
  <si>
    <t>SIID156</t>
  </si>
  <si>
    <t>税の種類を識別するコード
'=SWT(源泉所得税 ),VAT（消費税）</t>
  </si>
  <si>
    <t>鑑ヘッダの明細文書課税分類別税額の合計金額
鑑ヘッダでは複数明細文書税額の積み上げだけを行い、税額計算は行わない</t>
    <rPh sb="20" eb="21">
      <t>ガク</t>
    </rPh>
    <phoneticPr fontId="0"/>
  </si>
  <si>
    <t>鑑ヘッダ課税分類税額</t>
  </si>
  <si>
    <t>SIID155</t>
  </si>
  <si>
    <t>UN01005924</t>
  </si>
  <si>
    <t>鑑ヘッダの税に関する情報からなるグループ</t>
  </si>
  <si>
    <t>SIGR36</t>
  </si>
  <si>
    <t>UN01009966</t>
  </si>
  <si>
    <t>金融カードの発行企業名</t>
  </si>
  <si>
    <t>金融カード発行企業名</t>
  </si>
  <si>
    <t>SIID154</t>
  </si>
  <si>
    <t>IBT-088</t>
  </si>
  <si>
    <t>UN01004497</t>
  </si>
  <si>
    <t>支払人の金融カード名義人名</t>
  </si>
  <si>
    <t>金融カード名義人名</t>
  </si>
  <si>
    <t>SIID153</t>
  </si>
  <si>
    <t>UN01004496</t>
  </si>
  <si>
    <t>金融カードのタイプ</t>
  </si>
  <si>
    <t>金融カードタイプ</t>
  </si>
  <si>
    <t>SIID152</t>
  </si>
  <si>
    <t>IBT-087</t>
  </si>
  <si>
    <t>UN01004495</t>
  </si>
  <si>
    <t>支払人の金融カード番号</t>
  </si>
  <si>
    <t>金融カード番号</t>
  </si>
  <si>
    <t>SIID151</t>
  </si>
  <si>
    <t>IBG-18</t>
  </si>
  <si>
    <t>UN01006057</t>
  </si>
  <si>
    <t>支払人の金融カードのグループ</t>
  </si>
  <si>
    <t>SIGR35</t>
  </si>
  <si>
    <t>UN01003140</t>
  </si>
  <si>
    <t>金融機関のこの支店の、文字で表現された名前</t>
  </si>
  <si>
    <t>金融機関支店名</t>
  </si>
  <si>
    <t>IID150</t>
  </si>
  <si>
    <t>UN01003139</t>
  </si>
  <si>
    <t>★
口座番号に組込み</t>
    <rPh sb="7" eb="9">
      <t>クミコ</t>
    </rPh>
    <phoneticPr fontId="0"/>
  </si>
  <si>
    <t>金融機関のこの支店の一意ID</t>
  </si>
  <si>
    <t>金融機関支店番号</t>
  </si>
  <si>
    <t>IID149</t>
  </si>
  <si>
    <t>UN01005428</t>
  </si>
  <si>
    <t>銀行、住宅金融組合、信用金庫、証券会社、あるいはそれと類似の事業の部門のグループ。主に金融サービスと金融取引を提供するために設立された機関の支店。</t>
  </si>
  <si>
    <t>IGR34</t>
  </si>
  <si>
    <t>UN01011521</t>
  </si>
  <si>
    <t>債権者の金融機関番号（日本の場合）</t>
  </si>
  <si>
    <t>金融機関番号</t>
  </si>
  <si>
    <t>IID148</t>
  </si>
  <si>
    <t>UN01005426</t>
  </si>
  <si>
    <t>債権者金融機関の、文字で表現された名前。</t>
  </si>
  <si>
    <t>金融機関名</t>
  </si>
  <si>
    <t>IID147</t>
  </si>
  <si>
    <t>UN01005679</t>
  </si>
  <si>
    <t>金額を受け取る当事者の銀行、住宅金融組合、信用金庫、証券会社、あるいはそれと類似の事業機関。</t>
  </si>
  <si>
    <t>IGR33</t>
  </si>
  <si>
    <t>全銀協</t>
  </si>
  <si>
    <t>預金項目コード</t>
  </si>
  <si>
    <t>UN01012127</t>
  </si>
  <si>
    <t>債権者金融口座種別のコード。</t>
  </si>
  <si>
    <t>口座種別コード</t>
  </si>
  <si>
    <t>IID146</t>
  </si>
  <si>
    <t>IBT-084</t>
  </si>
  <si>
    <t>UN01005401</t>
  </si>
  <si>
    <t>債権者金融口座の一意の所有者ID。</t>
  </si>
  <si>
    <t>口座番号</t>
  </si>
  <si>
    <t>IID145</t>
  </si>
  <si>
    <t>IBT-085</t>
  </si>
  <si>
    <t>UN01005400</t>
  </si>
  <si>
    <t>債権者金融口座の、文字で表現された口座名。
半角カナ（日本の場合）</t>
  </si>
  <si>
    <t>口座名義</t>
  </si>
  <si>
    <t>IID144</t>
  </si>
  <si>
    <t>IBG-17</t>
  </si>
  <si>
    <t>UN01005677</t>
  </si>
  <si>
    <t>債権者の銀行口座のグループ</t>
  </si>
  <si>
    <t>IGR32</t>
  </si>
  <si>
    <t>UN01015504</t>
  </si>
  <si>
    <t>v4.0.1</t>
  </si>
  <si>
    <t>取引決済手段で支払う金額</t>
  </si>
  <si>
    <t>支払金額</t>
  </si>
  <si>
    <t>IID143</t>
  </si>
  <si>
    <t>IBT-082</t>
  </si>
  <si>
    <t>UN01011456</t>
  </si>
  <si>
    <t>取引決済手段に関する情報</t>
  </si>
  <si>
    <t>支払手段情報</t>
  </si>
  <si>
    <t>IID142</t>
  </si>
  <si>
    <t>IBT-081</t>
  </si>
  <si>
    <t>UNCL4461</t>
  </si>
  <si>
    <t>UN01005672</t>
  </si>
  <si>
    <t>取引決済手段のタイプを識別するコード</t>
  </si>
  <si>
    <t>支払手段タイプコード</t>
  </si>
  <si>
    <t>IID141</t>
  </si>
  <si>
    <t>IBG-16</t>
  </si>
  <si>
    <t>UN01005923</t>
  </si>
  <si>
    <t xml:space="preserve"> 取引決済の目的で支払が行われる、あるいは行われた手段のグループ</t>
  </si>
  <si>
    <t>IGR31</t>
  </si>
  <si>
    <t>UN01005745</t>
  </si>
  <si>
    <t>為替交換レートの適用日。</t>
  </si>
  <si>
    <t>IID140</t>
  </si>
  <si>
    <t>UN01005744</t>
  </si>
  <si>
    <t>為替交換のレート</t>
  </si>
  <si>
    <t>IID139</t>
  </si>
  <si>
    <t>UN01005741</t>
  </si>
  <si>
    <t>為替における交換先通貨を表すコード</t>
  </si>
  <si>
    <t>IID138</t>
  </si>
  <si>
    <t>UN01005739</t>
  </si>
  <si>
    <t>為替における交換元通貨を表すコード</t>
  </si>
  <si>
    <t>IID137</t>
  </si>
  <si>
    <t>UN01005922</t>
  </si>
  <si>
    <t>支払為替に関する情報からなるグループ</t>
  </si>
  <si>
    <t>SIGR30</t>
  </si>
  <si>
    <t>IID136</t>
  </si>
  <si>
    <t>IID135</t>
  </si>
  <si>
    <t>為替における交換先通貨を表すコード
デフォルト＝「JPY」</t>
  </si>
  <si>
    <t>IID134</t>
  </si>
  <si>
    <t>為替における交換元通貨を表すコード
デフォルト＝「JPY」</t>
  </si>
  <si>
    <t>IID133</t>
  </si>
  <si>
    <t xml:space="preserve">   </t>
  </si>
  <si>
    <t>UN01005921</t>
  </si>
  <si>
    <t>請求為替に関する情報からなるグループ</t>
  </si>
  <si>
    <t>SIGR29</t>
  </si>
  <si>
    <t>ISOがコード表6523に登録した国際アドレス登録機関のID</t>
    <rPh sb="7" eb="8">
      <t>ヒョウ</t>
    </rPh>
    <rPh sb="13" eb="15">
      <t>トウロク</t>
    </rPh>
    <rPh sb="17" eb="19">
      <t>コクサイ</t>
    </rPh>
    <phoneticPr fontId="0"/>
  </si>
  <si>
    <t>IID469</t>
  </si>
  <si>
    <t>6523'国際アドレス登録機関コード値</t>
    <rPh sb="4" eb="6">
      <t>コクサイ</t>
    </rPh>
    <rPh sb="10" eb="12">
      <t>トウロク</t>
    </rPh>
    <phoneticPr fontId="2"/>
  </si>
  <si>
    <t>属性コード値
選択入力</t>
    <rPh sb="0" eb="2">
      <t>ゾクセイ</t>
    </rPh>
    <rPh sb="5" eb="6">
      <t>チ</t>
    </rPh>
    <rPh sb="7" eb="9">
      <t>センタク</t>
    </rPh>
    <rPh sb="9" eb="11">
      <t>ニュウリョク</t>
    </rPh>
    <phoneticPr fontId="2"/>
  </si>
  <si>
    <t>UN01005858</t>
  </si>
  <si>
    <t>国際アドレス登録機関が付与する支払人国際アドレス番号</t>
    <rPh sb="0" eb="2">
      <t>コクサイ</t>
    </rPh>
    <rPh sb="6" eb="10">
      <t>トウロクキカン</t>
    </rPh>
    <rPh sb="11" eb="13">
      <t>フヨ</t>
    </rPh>
    <rPh sb="15" eb="17">
      <t>シハライ</t>
    </rPh>
    <rPh sb="17" eb="18">
      <t>ニン</t>
    </rPh>
    <rPh sb="18" eb="20">
      <t>コクサイ</t>
    </rPh>
    <rPh sb="24" eb="26">
      <t>バンゴウ</t>
    </rPh>
    <phoneticPr fontId="0"/>
  </si>
  <si>
    <t>支払人者国際アドレスID</t>
    <rPh sb="0" eb="2">
      <t>シハライ</t>
    </rPh>
    <rPh sb="2" eb="3">
      <t>ニン</t>
    </rPh>
    <rPh sb="3" eb="4">
      <t>シャ</t>
    </rPh>
    <rPh sb="4" eb="6">
      <t>コクサイ</t>
    </rPh>
    <phoneticPr fontId="0"/>
  </si>
  <si>
    <t>IID468</t>
  </si>
  <si>
    <t>UN01005765</t>
  </si>
  <si>
    <t>支払人の国際アドレスグループ</t>
    <rPh sb="0" eb="3">
      <t>シハライニン</t>
    </rPh>
    <phoneticPr fontId="0"/>
  </si>
  <si>
    <t>IGR22</t>
  </si>
  <si>
    <t>支払人の国ID。デフォルトは「JP」</t>
  </si>
  <si>
    <t>支払人国ID</t>
  </si>
  <si>
    <t>IID132</t>
  </si>
  <si>
    <t>支払人の住所3行目。</t>
  </si>
  <si>
    <t>支払人住所3</t>
  </si>
  <si>
    <t>IID131</t>
  </si>
  <si>
    <t>支払人の住所2行目。</t>
  </si>
  <si>
    <t>支払人住所2</t>
  </si>
  <si>
    <t>IID130</t>
  </si>
  <si>
    <t>支払人の住所1行目。</t>
  </si>
  <si>
    <t>支払人住所1</t>
  </si>
  <si>
    <t>IID129</t>
  </si>
  <si>
    <t>支払人の郵便番号。</t>
  </si>
  <si>
    <t>支払人郵便番号</t>
  </si>
  <si>
    <t>IID128</t>
  </si>
  <si>
    <t>支払人住所に関する情報からなるグループ。</t>
  </si>
  <si>
    <t>IGR28</t>
  </si>
  <si>
    <t>支払人の電子メールアドレス。</t>
  </si>
  <si>
    <t>支払人メールアドレス</t>
  </si>
  <si>
    <t>IID127</t>
  </si>
  <si>
    <t>UN01005860</t>
  </si>
  <si>
    <t>支払人のFAX番号</t>
  </si>
  <si>
    <t>支払人FAX番号</t>
  </si>
  <si>
    <t>IID126</t>
  </si>
  <si>
    <t>支払人の電話番号。</t>
  </si>
  <si>
    <t>支払人電話番号</t>
  </si>
  <si>
    <t>IID125</t>
  </si>
  <si>
    <t>UN01005725</t>
  </si>
  <si>
    <t>支払人個人を表すID</t>
  </si>
  <si>
    <t>支払人担当ID</t>
  </si>
  <si>
    <t>IID124</t>
  </si>
  <si>
    <t>UN01005721</t>
  </si>
  <si>
    <t>支払人の請求部門の名称。</t>
  </si>
  <si>
    <t>支払人部門名</t>
  </si>
  <si>
    <t>IID123</t>
  </si>
  <si>
    <t>UN01005720</t>
  </si>
  <si>
    <t>支払人個人の、文字で表現された名前。</t>
  </si>
  <si>
    <t>支払人担当名</t>
  </si>
  <si>
    <t>IID122</t>
  </si>
  <si>
    <t>UN01005719</t>
  </si>
  <si>
    <t>支払人の支払人部門を表すID。</t>
  </si>
  <si>
    <t>支払人部門ID</t>
  </si>
  <si>
    <t>IID121</t>
  </si>
  <si>
    <t>UN01005761</t>
  </si>
  <si>
    <t>連絡先に関する情報からなるグループ。</t>
  </si>
  <si>
    <t>IGR27</t>
  </si>
  <si>
    <t>支払人の企業等を表す名称。</t>
  </si>
  <si>
    <t>支払人名称</t>
  </si>
  <si>
    <t>IID120</t>
  </si>
  <si>
    <t>支払人の国際企業ID。</t>
  </si>
  <si>
    <t>支払人国際企業ID</t>
  </si>
  <si>
    <t>IID119</t>
  </si>
  <si>
    <t>支払人のID。</t>
  </si>
  <si>
    <t>支払人ID</t>
  </si>
  <si>
    <t>IID118</t>
  </si>
  <si>
    <t>UN01005919</t>
  </si>
  <si>
    <t>支払人に関する情報からなるグループ。</t>
  </si>
  <si>
    <t>IGR26</t>
  </si>
  <si>
    <t>IID467</t>
  </si>
  <si>
    <t>国際アドレス登録機関が付与する支払先国際アドレス番号</t>
    <rPh sb="0" eb="2">
      <t>コクサイ</t>
    </rPh>
    <rPh sb="6" eb="10">
      <t>トウロクキカン</t>
    </rPh>
    <rPh sb="11" eb="13">
      <t>フヨ</t>
    </rPh>
    <rPh sb="15" eb="17">
      <t>シハライ</t>
    </rPh>
    <rPh sb="17" eb="18">
      <t>サキ</t>
    </rPh>
    <rPh sb="18" eb="20">
      <t>コクサイ</t>
    </rPh>
    <rPh sb="24" eb="26">
      <t>バンゴウ</t>
    </rPh>
    <phoneticPr fontId="0"/>
  </si>
  <si>
    <t>支払先者国際アドレスID</t>
    <rPh sb="0" eb="2">
      <t>シハライ</t>
    </rPh>
    <rPh sb="2" eb="3">
      <t>サキ</t>
    </rPh>
    <rPh sb="3" eb="4">
      <t>シャ</t>
    </rPh>
    <rPh sb="4" eb="6">
      <t>コクサイ</t>
    </rPh>
    <phoneticPr fontId="0"/>
  </si>
  <si>
    <t>IID466</t>
  </si>
  <si>
    <t>支払先の国際アドレスグループ</t>
    <rPh sb="0" eb="2">
      <t>シハライ</t>
    </rPh>
    <rPh sb="2" eb="3">
      <t>サキ</t>
    </rPh>
    <phoneticPr fontId="0"/>
  </si>
  <si>
    <t>支払先の国ID。デフォルトは「JP」</t>
  </si>
  <si>
    <t>支払先国ID</t>
  </si>
  <si>
    <t>IID117</t>
  </si>
  <si>
    <t>支払先の住所3行目。</t>
  </si>
  <si>
    <t>支払先住所3</t>
  </si>
  <si>
    <t>IID116</t>
  </si>
  <si>
    <t>支払先の住所2行目。</t>
  </si>
  <si>
    <t>支払先住所2</t>
  </si>
  <si>
    <t>IID115</t>
  </si>
  <si>
    <t>支払先の住所1行目。</t>
  </si>
  <si>
    <t>支払先住所1</t>
  </si>
  <si>
    <t>IID114</t>
  </si>
  <si>
    <t>支払先の郵便番号。</t>
  </si>
  <si>
    <t>支払先郵便番号</t>
  </si>
  <si>
    <t>IID113</t>
  </si>
  <si>
    <t>支払先住所に関する情報からなるグループ。</t>
  </si>
  <si>
    <t>IGR25</t>
  </si>
  <si>
    <t>支払先の電子メールアドレス。</t>
  </si>
  <si>
    <t>支払先メールアドレス</t>
  </si>
  <si>
    <t>IID112</t>
  </si>
  <si>
    <t>支払先のFAX番号</t>
  </si>
  <si>
    <t>支払先FAX番号</t>
  </si>
  <si>
    <t>IID111</t>
  </si>
  <si>
    <t>支払先の電話番号。</t>
  </si>
  <si>
    <t>支払先電話番号</t>
  </si>
  <si>
    <t>IID110</t>
  </si>
  <si>
    <t>支払先個人を表すID</t>
  </si>
  <si>
    <t>支払先担当ID</t>
  </si>
  <si>
    <t>IID109</t>
  </si>
  <si>
    <t>支払先の請求部門の名称。</t>
  </si>
  <si>
    <t>支払先部門名</t>
  </si>
  <si>
    <t>IID108</t>
  </si>
  <si>
    <t>支払先個人の、文字で表現された名前。</t>
  </si>
  <si>
    <t>支払先担当名</t>
  </si>
  <si>
    <t>IID107</t>
  </si>
  <si>
    <t>支払先の支払先部門を表すID。</t>
  </si>
  <si>
    <t>支払先部門ID</t>
  </si>
  <si>
    <t>IID106</t>
  </si>
  <si>
    <t>IGR24</t>
  </si>
  <si>
    <t>IBT-059</t>
  </si>
  <si>
    <t>支払先の企業等を表す名称。</t>
  </si>
  <si>
    <t>支払先名称</t>
  </si>
  <si>
    <t>IID105</t>
  </si>
  <si>
    <t>IBT-061</t>
  </si>
  <si>
    <t>支払先の国際企業ID。</t>
  </si>
  <si>
    <t>支払先国際企業ID</t>
  </si>
  <si>
    <t>IID104</t>
  </si>
  <si>
    <t>IBT-060</t>
  </si>
  <si>
    <t>支払先のID。</t>
  </si>
  <si>
    <t>支払先ID</t>
  </si>
  <si>
    <t>IID103</t>
  </si>
  <si>
    <t>PAYEE</t>
  </si>
  <si>
    <t>IBG-10</t>
  </si>
  <si>
    <t>UN01005918</t>
  </si>
  <si>
    <t>支払先に関する情報からなるグループ。</t>
  </si>
  <si>
    <t>IGR23</t>
  </si>
  <si>
    <t>IID102</t>
  </si>
  <si>
    <t>国際アドレス登録機関が付与する請求先国際アドレス番号</t>
    <rPh sb="0" eb="2">
      <t>コクサイ</t>
    </rPh>
    <rPh sb="6" eb="10">
      <t>トウロクキカン</t>
    </rPh>
    <rPh sb="11" eb="13">
      <t>フヨ</t>
    </rPh>
    <rPh sb="15" eb="18">
      <t>セイキュウサキ</t>
    </rPh>
    <rPh sb="18" eb="20">
      <t>コクサイ</t>
    </rPh>
    <rPh sb="24" eb="26">
      <t>バンゴウ</t>
    </rPh>
    <phoneticPr fontId="0"/>
  </si>
  <si>
    <t>請求先者国際アドレスID</t>
    <rPh sb="0" eb="2">
      <t>セイキュウ</t>
    </rPh>
    <rPh sb="2" eb="3">
      <t>サキ</t>
    </rPh>
    <rPh sb="3" eb="4">
      <t>シャ</t>
    </rPh>
    <rPh sb="4" eb="6">
      <t>コクサイ</t>
    </rPh>
    <phoneticPr fontId="0"/>
  </si>
  <si>
    <t>IID101</t>
  </si>
  <si>
    <t>請求先の国際アドレスグループ</t>
    <rPh sb="0" eb="2">
      <t>セイキュウ</t>
    </rPh>
    <rPh sb="2" eb="3">
      <t>サキ</t>
    </rPh>
    <phoneticPr fontId="0"/>
  </si>
  <si>
    <t>請求先の国ID。デフォルトは「JP」</t>
  </si>
  <si>
    <t>請求先国ID</t>
  </si>
  <si>
    <t>IID100</t>
  </si>
  <si>
    <t>請求先の住所3行目。</t>
  </si>
  <si>
    <t>請求先住所3</t>
  </si>
  <si>
    <t>IID99</t>
  </si>
  <si>
    <t>請求先の住所2行目。</t>
  </si>
  <si>
    <t>請求先住所2</t>
  </si>
  <si>
    <t>IID98</t>
  </si>
  <si>
    <t>請求先の住所1行目。</t>
  </si>
  <si>
    <t>請求先住所1</t>
  </si>
  <si>
    <t>IID97</t>
  </si>
  <si>
    <t>請求先の郵便番号。</t>
  </si>
  <si>
    <t>請求先郵便番号</t>
  </si>
  <si>
    <t>IID96</t>
  </si>
  <si>
    <t>請求先住所に関する情報からなるグループ。</t>
  </si>
  <si>
    <t>IGR21</t>
  </si>
  <si>
    <t>請求先の電子メールアドレス。</t>
  </si>
  <si>
    <t>請求先メールアドレス</t>
  </si>
  <si>
    <t>IID95</t>
  </si>
  <si>
    <t>請求先のFAX番号</t>
  </si>
  <si>
    <t>請求先FAX番号</t>
  </si>
  <si>
    <t>IID94</t>
  </si>
  <si>
    <t>請求先の電話番号。</t>
  </si>
  <si>
    <t>請求先電話番号</t>
  </si>
  <si>
    <t>IID93</t>
  </si>
  <si>
    <t>請求先個人を表すID</t>
  </si>
  <si>
    <t>請求先担当ID</t>
  </si>
  <si>
    <t>IID92</t>
  </si>
  <si>
    <t>請求先の部門を表す名称</t>
  </si>
  <si>
    <t>請求先部門名</t>
  </si>
  <si>
    <t>IID91</t>
  </si>
  <si>
    <t>請求先の担当者の名称</t>
  </si>
  <si>
    <t>請求先担当名</t>
  </si>
  <si>
    <t>IID90</t>
  </si>
  <si>
    <t>請求先の部門を表すコード。</t>
  </si>
  <si>
    <t>請求先部門ID</t>
  </si>
  <si>
    <t>IID89</t>
  </si>
  <si>
    <t>IGR20</t>
  </si>
  <si>
    <t>請求を受ける企業等の名称</t>
  </si>
  <si>
    <t>請求先名称</t>
  </si>
  <si>
    <t>IID88</t>
  </si>
  <si>
    <t>企業を表す国際企業ID。ISO6523に登録された国際企業登録機関を属性で指定する。</t>
    <phoneticPr fontId="0"/>
  </si>
  <si>
    <t>請求先国際企業ID</t>
  </si>
  <si>
    <t>IID87</t>
  </si>
  <si>
    <t>請求を受ける企業等を表すID。</t>
  </si>
  <si>
    <t>請求先ID</t>
  </si>
  <si>
    <t>IID86</t>
  </si>
  <si>
    <t>UN01005917</t>
  </si>
  <si>
    <t>請求先に関する情報からなるグループ。</t>
  </si>
  <si>
    <t>IGR19</t>
  </si>
  <si>
    <t>IID85</t>
  </si>
  <si>
    <t>国際アドレス登録機関が付与する請求者国際アドレス番号</t>
    <rPh sb="0" eb="2">
      <t>コクサイ</t>
    </rPh>
    <rPh sb="6" eb="10">
      <t>トウロクキカン</t>
    </rPh>
    <rPh sb="11" eb="13">
      <t>フヨ</t>
    </rPh>
    <rPh sb="15" eb="17">
      <t>セイキュウ</t>
    </rPh>
    <rPh sb="17" eb="18">
      <t>シャ</t>
    </rPh>
    <rPh sb="18" eb="20">
      <t>コクサイ</t>
    </rPh>
    <rPh sb="24" eb="26">
      <t>バンゴウ</t>
    </rPh>
    <phoneticPr fontId="0"/>
  </si>
  <si>
    <t>請求者国際アドレスID</t>
    <rPh sb="0" eb="3">
      <t>セイキュウシャ</t>
    </rPh>
    <rPh sb="3" eb="5">
      <t>コクサイ</t>
    </rPh>
    <phoneticPr fontId="0"/>
  </si>
  <si>
    <t>IID84</t>
  </si>
  <si>
    <t>請求者の国際アドレスグループ</t>
    <rPh sb="0" eb="3">
      <t>セイキュウシャ</t>
    </rPh>
    <phoneticPr fontId="0"/>
  </si>
  <si>
    <t>IGR18</t>
  </si>
  <si>
    <t>請求者の国ID。デフォルトは「JP」</t>
  </si>
  <si>
    <t>請求者国ID</t>
  </si>
  <si>
    <t>IID83</t>
  </si>
  <si>
    <t>請求者の住所3行目。</t>
  </si>
  <si>
    <t>請求者住所3</t>
  </si>
  <si>
    <t>IID82</t>
  </si>
  <si>
    <t>請求者の住所2行目。</t>
  </si>
  <si>
    <t>請求者住所2</t>
  </si>
  <si>
    <t>IID81</t>
  </si>
  <si>
    <t>請求者の住所1行目。</t>
  </si>
  <si>
    <t>請求者住所1</t>
  </si>
  <si>
    <t>IID80</t>
  </si>
  <si>
    <t>請求者の郵便番号。</t>
  </si>
  <si>
    <t>請求者郵便番号</t>
  </si>
  <si>
    <t>IID79</t>
  </si>
  <si>
    <t>請求者住所に関する情報からなるグループ。</t>
  </si>
  <si>
    <t>IGR17</t>
  </si>
  <si>
    <t>請求者の電子メールアドレス。</t>
  </si>
  <si>
    <t>請求者メールアドレス</t>
  </si>
  <si>
    <t>IID78</t>
  </si>
  <si>
    <t>請求者のFAX番号</t>
  </si>
  <si>
    <t>請求者FAX番号</t>
  </si>
  <si>
    <t>IID77</t>
  </si>
  <si>
    <t>請求者の電話番号。</t>
  </si>
  <si>
    <t>請求者電話番号</t>
  </si>
  <si>
    <t>IID76</t>
  </si>
  <si>
    <t>請求者個人を表すID</t>
  </si>
  <si>
    <t>請求者担当ID</t>
  </si>
  <si>
    <t>IID75</t>
  </si>
  <si>
    <t>請求者の請求部門の名称。</t>
  </si>
  <si>
    <t>請求者部門名</t>
  </si>
  <si>
    <t>IID74</t>
  </si>
  <si>
    <t>請求者個人の、文字で表現された名前。</t>
  </si>
  <si>
    <t>請求者担当名</t>
  </si>
  <si>
    <t>IID73</t>
  </si>
  <si>
    <t>請求者の請求部門を表すID。</t>
  </si>
  <si>
    <t>請求部門ID</t>
  </si>
  <si>
    <t>IID72</t>
  </si>
  <si>
    <t>IGR16</t>
  </si>
  <si>
    <t>UN01012925</t>
  </si>
  <si>
    <t>請求事業者の消費税タイプを識別するコード</t>
  </si>
  <si>
    <t>請求者タイプコード</t>
  </si>
  <si>
    <t>IID71</t>
  </si>
  <si>
    <t>UN01013039</t>
  </si>
  <si>
    <t>登録された請求者の適格請求書発行事業者登録番号</t>
  </si>
  <si>
    <t>請求者適格請求書発行事業者登録番号</t>
  </si>
  <si>
    <t>IID70</t>
  </si>
  <si>
    <t>請求者の企業等を表す名称。</t>
  </si>
  <si>
    <t>請求者名称</t>
  </si>
  <si>
    <t>IID69</t>
  </si>
  <si>
    <t>請求者国際企業ID</t>
  </si>
  <si>
    <t>IID68</t>
  </si>
  <si>
    <t>請求者のID。</t>
  </si>
  <si>
    <t>請求者ID</t>
  </si>
  <si>
    <t>IID67</t>
  </si>
  <si>
    <t>UN01005916</t>
  </si>
  <si>
    <t>請求者に関する情報からなるグループ。</t>
  </si>
  <si>
    <t>IGR15</t>
  </si>
  <si>
    <t>UN01005915</t>
  </si>
  <si>
    <t>請求支払通貨コード（デフォルトはJPY）</t>
  </si>
  <si>
    <t>支払通貨コード</t>
  </si>
  <si>
    <t>IID66</t>
  </si>
  <si>
    <t>IBT-005</t>
  </si>
  <si>
    <t>UN01005914</t>
  </si>
  <si>
    <t>インボイス文書の通貨コード。
＝JPY（デフォルト）</t>
  </si>
  <si>
    <t>文書通貨コード</t>
    <phoneticPr fontId="0"/>
  </si>
  <si>
    <t>IID65</t>
  </si>
  <si>
    <t>IBT-006</t>
  </si>
  <si>
    <t>UN01005913</t>
  </si>
  <si>
    <t>税の通貨コード。
＝JPY（デフォルト）</t>
  </si>
  <si>
    <t>税通貨コード</t>
  </si>
  <si>
    <t>IID64</t>
  </si>
  <si>
    <t>UN01005939</t>
  </si>
  <si>
    <t>インボイス文書の決済に関する情報からなるグループ。</t>
  </si>
  <si>
    <t>IGR14</t>
    <phoneticPr fontId="0"/>
  </si>
  <si>
    <t>IBT-011</t>
  </si>
  <si>
    <t>UN01000374</t>
  </si>
  <si>
    <t>v1/v4.3</t>
    <phoneticPr fontId="0"/>
  </si>
  <si>
    <t>発注品に関するプロジェクト・工事案件等の名称。</t>
  </si>
  <si>
    <t>プロジェクト名</t>
  </si>
  <si>
    <t>OID64</t>
  </si>
  <si>
    <t>UN01000372</t>
  </si>
  <si>
    <t>発注品に関するプロジェクト・工事案件等を管理するためのID。</t>
  </si>
  <si>
    <t>プロジェクトID</t>
    <phoneticPr fontId="0"/>
  </si>
  <si>
    <t>OID63</t>
  </si>
  <si>
    <t>UN01011516</t>
  </si>
  <si>
    <t>プロジェクト調達に関する情報のグループ</t>
  </si>
  <si>
    <t>IGR13</t>
  </si>
  <si>
    <t>IBT-049-1</t>
  </si>
  <si>
    <t>IID61</t>
  </si>
  <si>
    <t>IBT-049</t>
  </si>
  <si>
    <t>国際アドレス登録機関が付与する発注者国際アドレス番号</t>
    <rPh sb="0" eb="2">
      <t>コクサイ</t>
    </rPh>
    <rPh sb="6" eb="10">
      <t>トウロクキカン</t>
    </rPh>
    <rPh sb="11" eb="13">
      <t>フヨ</t>
    </rPh>
    <rPh sb="15" eb="18">
      <t>ハッチュウシャ</t>
    </rPh>
    <rPh sb="18" eb="20">
      <t>コクサイ</t>
    </rPh>
    <rPh sb="24" eb="26">
      <t>バンゴウ</t>
    </rPh>
    <phoneticPr fontId="0"/>
  </si>
  <si>
    <t>発注者国際アドレスID</t>
    <rPh sb="0" eb="3">
      <t>ハッチュウシャ</t>
    </rPh>
    <rPh sb="2" eb="3">
      <t>シャ</t>
    </rPh>
    <rPh sb="3" eb="5">
      <t>コクサイ</t>
    </rPh>
    <phoneticPr fontId="0"/>
  </si>
  <si>
    <t>IID60</t>
  </si>
  <si>
    <t>発注者の国際アドレスグループ</t>
    <rPh sb="0" eb="3">
      <t>ハッチュウシャ</t>
    </rPh>
    <phoneticPr fontId="0"/>
  </si>
  <si>
    <t>IGR12</t>
  </si>
  <si>
    <t>IBT-055</t>
  </si>
  <si>
    <t>発注者の国ID。デフォルトは「JP」</t>
  </si>
  <si>
    <t>発注者国ID</t>
  </si>
  <si>
    <t>IID59</t>
  </si>
  <si>
    <t>IBT-163</t>
  </si>
  <si>
    <t>発注者の住所3行目。</t>
  </si>
  <si>
    <t>発注者住所3</t>
  </si>
  <si>
    <t>IID58</t>
  </si>
  <si>
    <t>IBT-051</t>
  </si>
  <si>
    <t>発注者の住所2行目。</t>
  </si>
  <si>
    <t>発注者住所2</t>
  </si>
  <si>
    <t>IID57</t>
  </si>
  <si>
    <t>IBT-050</t>
  </si>
  <si>
    <t>発注者の住所1行目。</t>
  </si>
  <si>
    <t>発注者住所1</t>
  </si>
  <si>
    <t>IID56</t>
  </si>
  <si>
    <t>IBT-053</t>
  </si>
  <si>
    <t>発注者の郵便番号。</t>
  </si>
  <si>
    <t>発注者郵便番号</t>
  </si>
  <si>
    <t>IID55</t>
  </si>
  <si>
    <t>IBG-08</t>
  </si>
  <si>
    <t>発注者住所に関する情報からなるグループ。</t>
  </si>
  <si>
    <t>IGR11</t>
  </si>
  <si>
    <t>IBT-058</t>
  </si>
  <si>
    <t>発注者の電子メールアドレス。</t>
  </si>
  <si>
    <t>発注者メールアドレス</t>
  </si>
  <si>
    <t>IID54</t>
  </si>
  <si>
    <t>発注者のFAX番号</t>
  </si>
  <si>
    <t>発注者FAX番号</t>
  </si>
  <si>
    <t>IID53</t>
  </si>
  <si>
    <t>IBT-057</t>
  </si>
  <si>
    <t>発注者の電話番号。</t>
  </si>
  <si>
    <t>発注者電話番号</t>
  </si>
  <si>
    <t>IID52</t>
  </si>
  <si>
    <t>発注者個人を表すID</t>
  </si>
  <si>
    <t>発注者担当ID</t>
  </si>
  <si>
    <t>IID51</t>
  </si>
  <si>
    <t>IBT-056</t>
  </si>
  <si>
    <t>（★）</t>
  </si>
  <si>
    <t>発注者の発注部門の名称。</t>
  </si>
  <si>
    <t>発注者部門名</t>
  </si>
  <si>
    <t>IID50</t>
  </si>
  <si>
    <t>発注者の発注担当者の名称</t>
  </si>
  <si>
    <t>発注者担当名</t>
  </si>
  <si>
    <t>IID49</t>
  </si>
  <si>
    <t>発注者の発注部門を表すID。</t>
  </si>
  <si>
    <t>発注者部門ID</t>
  </si>
  <si>
    <t>IID48</t>
  </si>
  <si>
    <t>IBG-09</t>
  </si>
  <si>
    <t>IGR10</t>
  </si>
  <si>
    <t>インボイス制度対象事業者のタイプを識別するコード
正規、簡易課税、2割特例、免税</t>
  </si>
  <si>
    <t>発注者タイプコード</t>
  </si>
  <si>
    <t>IID47</t>
  </si>
  <si>
    <t>IBT-048</t>
  </si>
  <si>
    <t>登録された発注者の適格請求書発行事業者登録番号
（免税事業者についてはなし）</t>
  </si>
  <si>
    <t>発注者適格請求書発行事業者登録番号</t>
  </si>
  <si>
    <t>IID46</t>
  </si>
  <si>
    <t>IBT-044</t>
  </si>
  <si>
    <t>発注を行う企業/工場・事業所・事業部門等の名称</t>
  </si>
  <si>
    <t>発注者名称</t>
  </si>
  <si>
    <t>IID45</t>
  </si>
  <si>
    <t>IBT-047</t>
  </si>
  <si>
    <t>6523企業ID/＠
6523企業コード発番機関コード値</t>
  </si>
  <si>
    <t>発注者国際企業ID</t>
  </si>
  <si>
    <t>IID44</t>
  </si>
  <si>
    <t>IBT-046</t>
  </si>
  <si>
    <t>注文を行う企業/工場・事業所・事業部門等を表すID。デフォルトはデータなし。</t>
  </si>
  <si>
    <t>発注者ID</t>
  </si>
  <si>
    <t>IID43</t>
  </si>
  <si>
    <t>BUYER</t>
  </si>
  <si>
    <t>IBG-07</t>
  </si>
  <si>
    <t>UN01005880</t>
  </si>
  <si>
    <t>発注者に関する情報からなるグループ。</t>
  </si>
  <si>
    <t>IGR9</t>
  </si>
  <si>
    <t>IBT-034-1</t>
  </si>
  <si>
    <t>IID42</t>
  </si>
  <si>
    <t>IBT-034</t>
  </si>
  <si>
    <t>国際アドレス登録機関が付与する受注者国際アドレス番号</t>
    <rPh sb="0" eb="2">
      <t>コクサイ</t>
    </rPh>
    <rPh sb="6" eb="10">
      <t>トウロクキカン</t>
    </rPh>
    <rPh sb="11" eb="13">
      <t>フヨ</t>
    </rPh>
    <rPh sb="15" eb="18">
      <t>ジュチュウシャ</t>
    </rPh>
    <rPh sb="18" eb="20">
      <t>コクサイ</t>
    </rPh>
    <rPh sb="24" eb="26">
      <t>バンゴウ</t>
    </rPh>
    <phoneticPr fontId="0"/>
  </si>
  <si>
    <t>IID41</t>
  </si>
  <si>
    <t>受注者の国際アドレスグループ</t>
    <rPh sb="0" eb="3">
      <t>ジュチュウシャ</t>
    </rPh>
    <phoneticPr fontId="0"/>
  </si>
  <si>
    <t>IGR8</t>
  </si>
  <si>
    <t>IBT-040</t>
  </si>
  <si>
    <t>受注者の国ID。デフォルトは「JP」</t>
  </si>
  <si>
    <t>受注者国ID</t>
  </si>
  <si>
    <t>IID40</t>
  </si>
  <si>
    <t>IBT-162</t>
  </si>
  <si>
    <t>受注者の住所3行目。</t>
  </si>
  <si>
    <t>受注者住所3</t>
  </si>
  <si>
    <t>IID39</t>
  </si>
  <si>
    <t>IBT-036</t>
  </si>
  <si>
    <t>受注者の住所2行目。</t>
  </si>
  <si>
    <t>受注者住所2</t>
  </si>
  <si>
    <t>IID38</t>
  </si>
  <si>
    <t>IBT-035</t>
  </si>
  <si>
    <t>受注者の住所1行目。</t>
  </si>
  <si>
    <t>受注者住所1</t>
  </si>
  <si>
    <t>IID37</t>
  </si>
  <si>
    <t>IBT-038</t>
  </si>
  <si>
    <t>受注者の郵便番号。</t>
  </si>
  <si>
    <t>受注者郵便番号</t>
  </si>
  <si>
    <t>IID36</t>
  </si>
  <si>
    <t>IBG-05</t>
  </si>
  <si>
    <t>受注者住所に関する情報からなるグループ。</t>
  </si>
  <si>
    <t>IGR7</t>
  </si>
  <si>
    <t>IBT-043</t>
  </si>
  <si>
    <t>受注者の電子メールアドレス。</t>
  </si>
  <si>
    <t>受注者メールアドレス</t>
  </si>
  <si>
    <t>IID35</t>
  </si>
  <si>
    <t>受注者のFAX番号</t>
  </si>
  <si>
    <t>受注者FAX番号</t>
  </si>
  <si>
    <t>IID34</t>
  </si>
  <si>
    <t>IBT-042</t>
  </si>
  <si>
    <t>受注者の電話番号。</t>
  </si>
  <si>
    <t>受注者電話番号</t>
  </si>
  <si>
    <t>IID33</t>
  </si>
  <si>
    <t>受注者個人を表すID</t>
  </si>
  <si>
    <t>受注者担当ID</t>
  </si>
  <si>
    <t>IID32</t>
  </si>
  <si>
    <t>IBT-041</t>
  </si>
  <si>
    <t>受注者の受注部門の名称。</t>
  </si>
  <si>
    <t>受注者部門名</t>
  </si>
  <si>
    <t>IID31</t>
  </si>
  <si>
    <t>受注者連絡先の個人の、文字で表現された名前。</t>
  </si>
  <si>
    <t>受注者担当名</t>
  </si>
  <si>
    <t>IID30</t>
  </si>
  <si>
    <t>受注者の受注部門を表すID。</t>
  </si>
  <si>
    <t>受注部門ID</t>
  </si>
  <si>
    <t>IID29</t>
  </si>
  <si>
    <t>IBG-06</t>
  </si>
  <si>
    <t>IGR6</t>
    <phoneticPr fontId="0"/>
  </si>
  <si>
    <t>適格請求書発行事業者のタイプを識別するコード</t>
  </si>
  <si>
    <t>受注者タイプコード</t>
  </si>
  <si>
    <t>IID28</t>
  </si>
  <si>
    <t>IBT-031</t>
  </si>
  <si>
    <t>6523企業ID/＠
6523国際アドレス登録機関コード値
＝0221（デジタル庁）</t>
  </si>
  <si>
    <t>属性コード値
固定入力</t>
  </si>
  <si>
    <t>国税庁へ登録された適格請求書発行事業者登録番号（区分記載請求書発行者についてはなし）
T1234567890123</t>
  </si>
  <si>
    <t>受注者適格請求書発行事業者登録番号</t>
  </si>
  <si>
    <t>IID27</t>
  </si>
  <si>
    <t>IBT-027</t>
  </si>
  <si>
    <t>注文を受ける企業/工場・事業所・事業部門等を表す名称。仕入明細書を交付される事業者名。</t>
    <rPh sb="27" eb="31">
      <t>シイレメイサイ</t>
    </rPh>
    <rPh sb="31" eb="32">
      <t>ショ</t>
    </rPh>
    <rPh sb="33" eb="35">
      <t>コウフ</t>
    </rPh>
    <phoneticPr fontId="0"/>
  </si>
  <si>
    <t>受注者名称</t>
  </si>
  <si>
    <t>IID26</t>
  </si>
  <si>
    <t>IBT-030</t>
  </si>
  <si>
    <t>受注者国際企業ID</t>
  </si>
  <si>
    <t>IID25</t>
  </si>
  <si>
    <t>IBT-029</t>
  </si>
  <si>
    <t>注文を受ける企業/工場・事業所・事業部門等を表すID。デフォルトはデータなし。</t>
  </si>
  <si>
    <t>受注者ID</t>
  </si>
  <si>
    <t>IID24</t>
    <phoneticPr fontId="0"/>
  </si>
  <si>
    <t>SELLER</t>
  </si>
  <si>
    <t>IBG-04</t>
  </si>
  <si>
    <t>UN01005879</t>
  </si>
  <si>
    <t>受注者に関する情報からなるグループ。</t>
  </si>
  <si>
    <t>IGR5</t>
    <phoneticPr fontId="0"/>
  </si>
  <si>
    <t>UN01006026</t>
  </si>
  <si>
    <t>添付バイナリファイルの説明文</t>
    <rPh sb="0" eb="2">
      <t>テンプ</t>
    </rPh>
    <rPh sb="11" eb="14">
      <t>セツメイブン</t>
    </rPh>
    <phoneticPr fontId="0"/>
  </si>
  <si>
    <t>SIID23</t>
  </si>
  <si>
    <t>UN01006024</t>
    <phoneticPr fontId="0"/>
  </si>
  <si>
    <t>添付バイナリファイルの出力コード</t>
    <rPh sb="0" eb="2">
      <t>テンプ</t>
    </rPh>
    <rPh sb="11" eb="13">
      <t>シュツリョク</t>
    </rPh>
    <phoneticPr fontId="0"/>
  </si>
  <si>
    <t>添付バイナリファイル出力コード</t>
    <rPh sb="0" eb="2">
      <t>テンプ</t>
    </rPh>
    <rPh sb="10" eb="12">
      <t>シュツリョク</t>
    </rPh>
    <phoneticPr fontId="0"/>
  </si>
  <si>
    <t>SIID504</t>
  </si>
  <si>
    <t>UN01006022</t>
  </si>
  <si>
    <t>添付バイナリファイルのエンコード用コード</t>
    <rPh sb="0" eb="2">
      <t>テンプ</t>
    </rPh>
    <rPh sb="16" eb="17">
      <t>ヨウ</t>
    </rPh>
    <phoneticPr fontId="0"/>
  </si>
  <si>
    <t>添付バイナリファイルエンコードコード</t>
    <rPh sb="0" eb="2">
      <t>テンプ</t>
    </rPh>
    <phoneticPr fontId="0"/>
  </si>
  <si>
    <t>SIID503</t>
  </si>
  <si>
    <t>IETF</t>
  </si>
  <si>
    <t>RFC1341</t>
  </si>
  <si>
    <t>UN01006021</t>
  </si>
  <si>
    <t>添付バイナリファイルのMIMEコード</t>
    <rPh sb="0" eb="2">
      <t>テンプ</t>
    </rPh>
    <phoneticPr fontId="0"/>
  </si>
  <si>
    <t>SIID22</t>
  </si>
  <si>
    <t>UN01006020</t>
  </si>
  <si>
    <t>添付バイナリファイルの保管URSIID</t>
    <rPh sb="0" eb="2">
      <t>テンプ</t>
    </rPh>
    <rPh sb="11" eb="13">
      <t>ホカン</t>
    </rPh>
    <phoneticPr fontId="0"/>
  </si>
  <si>
    <t>添付バイナリファイルURI ID</t>
    <rPh sb="0" eb="2">
      <t>テンプ</t>
    </rPh>
    <phoneticPr fontId="0"/>
  </si>
  <si>
    <t>SIID21</t>
  </si>
  <si>
    <t>UN01006019</t>
  </si>
  <si>
    <t>添付バイナリファイルの名称</t>
    <rPh sb="0" eb="2">
      <t>テンプ</t>
    </rPh>
    <rPh sb="11" eb="13">
      <t>メイショウ</t>
    </rPh>
    <phoneticPr fontId="0"/>
  </si>
  <si>
    <t>添付バイナリファイル名</t>
    <rPh sb="0" eb="2">
      <t>テンプ</t>
    </rPh>
    <rPh sb="10" eb="11">
      <t>メイ</t>
    </rPh>
    <phoneticPr fontId="0"/>
  </si>
  <si>
    <t>SIID20</t>
  </si>
  <si>
    <t>UN01006018</t>
  </si>
  <si>
    <t>添付バイナリファイルのバージョンID</t>
    <rPh sb="0" eb="2">
      <t>テンプ</t>
    </rPh>
    <phoneticPr fontId="0"/>
  </si>
  <si>
    <t>添付バイナリファイル版数</t>
    <rPh sb="0" eb="2">
      <t>テンプ</t>
    </rPh>
    <rPh sb="10" eb="11">
      <t>ハン</t>
    </rPh>
    <rPh sb="11" eb="12">
      <t>スウ</t>
    </rPh>
    <phoneticPr fontId="0"/>
  </si>
  <si>
    <t>SIID502</t>
  </si>
  <si>
    <t>UN01006015</t>
  </si>
  <si>
    <t>添付バイナリファイルのID</t>
    <rPh sb="0" eb="2">
      <t>テンプ</t>
    </rPh>
    <phoneticPr fontId="0"/>
  </si>
  <si>
    <t>添付バイナリファイルID</t>
    <rPh sb="0" eb="2">
      <t>テンプ</t>
    </rPh>
    <phoneticPr fontId="0"/>
  </si>
  <si>
    <t>SIID19</t>
  </si>
  <si>
    <t>IBT-125</t>
  </si>
  <si>
    <t>UN01015490</t>
    <phoneticPr fontId="0"/>
  </si>
  <si>
    <t>添付バイナリファイルを記述するためのグループ</t>
    <rPh sb="0" eb="2">
      <t>テンプ</t>
    </rPh>
    <rPh sb="11" eb="13">
      <t>キジュツ</t>
    </rPh>
    <phoneticPr fontId="20"/>
  </si>
  <si>
    <t>SIGR4</t>
  </si>
  <si>
    <t>インボイス文書が参照する参照文書の文書サブタイプを識別するコード</t>
  </si>
  <si>
    <t>（鑑ヘッダ参照）文書サブタイプコード</t>
  </si>
  <si>
    <t>SIID18</t>
  </si>
  <si>
    <t>インボイス文書が参照する参照文書の文書タイプを識別するコード</t>
  </si>
  <si>
    <t>（鑑ヘッダ参照）文書タイプコード</t>
  </si>
  <si>
    <t>SIID16</t>
  </si>
  <si>
    <t>IBT-123</t>
  </si>
  <si>
    <t>インボイス文書が参照する参照文書に記載の情報</t>
  </si>
  <si>
    <t>（鑑ヘッダ参照）文書情報</t>
  </si>
  <si>
    <t>SIID405</t>
  </si>
  <si>
    <t>インボイス文書が参照する文書の変更履歴を管理するID。</t>
  </si>
  <si>
    <t>（鑑ヘッダ参照）文書履歴ID</t>
  </si>
  <si>
    <t>SIID15</t>
  </si>
  <si>
    <t xml:space="preserve"> '＝OI (Previous invoice number)（デフォルト）
＝OH（Current invoice number）</t>
  </si>
  <si>
    <t>コード値
選択入力</t>
    <rPh sb="2" eb="3">
      <t>チ</t>
    </rPh>
    <rPh sb="5" eb="7">
      <t>センタク</t>
    </rPh>
    <rPh sb="7" eb="9">
      <t>ニュウリョク</t>
    </rPh>
    <phoneticPr fontId="0"/>
  </si>
  <si>
    <t>この調整で参照するインボイス文書の参照タイプを指定するコード　</t>
    <phoneticPr fontId="0"/>
  </si>
  <si>
    <t>（鑑ヘッダ参照）文書参照タイプコード</t>
  </si>
  <si>
    <t>SIID14</t>
  </si>
  <si>
    <t>インボイス文書が参照する参照文書の発行日</t>
  </si>
  <si>
    <t>（鑑ヘッダ参照）文書発行日</t>
  </si>
  <si>
    <t>SIID13</t>
  </si>
  <si>
    <t>IBT-124</t>
  </si>
  <si>
    <t>インボイス文書が参照する文書が所在するURL_ID</t>
  </si>
  <si>
    <t>（鑑ヘッダ参照）文書URL_ID</t>
  </si>
  <si>
    <t>SIID404</t>
  </si>
  <si>
    <t>IBT-122</t>
  </si>
  <si>
    <t>インボイス文書が参照する参照文書のID</t>
  </si>
  <si>
    <t>（鑑ヘッダ参照）文書ID</t>
  </si>
  <si>
    <t>SIID12</t>
  </si>
  <si>
    <t>IBG-24</t>
  </si>
  <si>
    <t>UN01012702</t>
  </si>
  <si>
    <t>インボイス文書が参照する文書グループ</t>
  </si>
  <si>
    <t>SIGR3</t>
  </si>
  <si>
    <t>注釈の識別ID</t>
  </si>
  <si>
    <t>インボイス文書注釈ID</t>
  </si>
  <si>
    <t>SIID11</t>
  </si>
  <si>
    <t>IBT-022</t>
  </si>
  <si>
    <t>注釈項目毎の内容情報を入力するフリースペース。</t>
  </si>
  <si>
    <t>インボイス文書注釈内容</t>
  </si>
  <si>
    <t>SIID10</t>
  </si>
  <si>
    <t>注釈内容の表題を示す。</t>
  </si>
  <si>
    <t>インボイス文書注釈表題</t>
  </si>
  <si>
    <t>SIID9</t>
  </si>
  <si>
    <t>UN01005876</t>
  </si>
  <si>
    <t>インボイス文書の注釈を記述するためのグループ</t>
  </si>
  <si>
    <t>SIGR2</t>
  </si>
  <si>
    <t>デフォルト＝AP
（一括確認回答）</t>
  </si>
  <si>
    <t>UN01015491</t>
  </si>
  <si>
    <t>受注者の仕入明細回答書に対する発注者の回答に利用
鑑ヘッダ回答書の回答タイプを示すコード。
回答タイプは一括確認、部分確認、一括不可
デフォルトは一括確認
部分確認の場合は明細文書または明細行の回答タイプコードを利用して確認不可の項目を指定する</t>
  </si>
  <si>
    <t>鑑ヘッダ回答タイプコード</t>
  </si>
  <si>
    <t>SIID801</t>
  </si>
  <si>
    <t>鑑ヘッダ</t>
    <rPh sb="0" eb="1">
      <t>カガミ</t>
    </rPh>
    <phoneticPr fontId="0"/>
  </si>
  <si>
    <t>デフォルト＝38002
（コア仕入明細書）</t>
  </si>
  <si>
    <t>UN01014636</t>
  </si>
  <si>
    <t>地域固有の文書のタイプを識別するコード</t>
  </si>
  <si>
    <t>インボイス文書サブタイプコード</t>
  </si>
  <si>
    <t>SIID8</t>
  </si>
  <si>
    <t>UN01005875</t>
  </si>
  <si>
    <t>インボイス文書の類型を識別するコード</t>
    <phoneticPr fontId="0"/>
  </si>
  <si>
    <t>インボイス文書類型コード</t>
  </si>
  <si>
    <t>SIID7</t>
  </si>
  <si>
    <t>UN01005874</t>
  </si>
  <si>
    <t>インボイス文書の変更履歴を管理するID</t>
  </si>
  <si>
    <t>インボイス文書履歴ID</t>
  </si>
  <si>
    <t>SIID6</t>
  </si>
  <si>
    <t>デフォルト＝９（新規）</t>
  </si>
  <si>
    <t>UNCL1225</t>
  </si>
  <si>
    <t>UN01005869</t>
  </si>
  <si>
    <t>発注者がインボイス文書の目的（新規、変更、取消、打切り）を管理するために付番したコード</t>
    <rPh sb="0" eb="2">
      <t>ハッチュウ</t>
    </rPh>
    <phoneticPr fontId="0"/>
  </si>
  <si>
    <t>インボイス文書目的コード</t>
  </si>
  <si>
    <t>SIID5</t>
  </si>
  <si>
    <t>デフォルト
'=JP</t>
    <phoneticPr fontId="0"/>
  </si>
  <si>
    <t>UN01005868</t>
    <phoneticPr fontId="0"/>
  </si>
  <si>
    <t>インボイス文書の言語ID</t>
    <rPh sb="5" eb="6">
      <t>ブン</t>
    </rPh>
    <rPh sb="8" eb="10">
      <t>ゲンゴ</t>
    </rPh>
    <phoneticPr fontId="0"/>
  </si>
  <si>
    <t>インボイス文書言語ID</t>
    <rPh sb="5" eb="6">
      <t>ブン</t>
    </rPh>
    <rPh sb="7" eb="9">
      <t>ゲンゴ</t>
    </rPh>
    <phoneticPr fontId="0"/>
  </si>
  <si>
    <t>IID421</t>
    <phoneticPr fontId="0"/>
  </si>
  <si>
    <t>IBT-002</t>
  </si>
  <si>
    <t>UN01005865</t>
  </si>
  <si>
    <t>インボイス文書の発行日付，またはインボイス文書の書面上の発行日付。</t>
  </si>
  <si>
    <t>インボイス文書発効日</t>
  </si>
  <si>
    <t>SIID4</t>
  </si>
  <si>
    <t>IBT-003</t>
  </si>
  <si>
    <t>UN01005864</t>
  </si>
  <si>
    <t>インボイス文書のタイプを識別するコード</t>
  </si>
  <si>
    <t>インボイス文書タイプコード</t>
  </si>
  <si>
    <t>SIID3</t>
  </si>
  <si>
    <t>UN01005863</t>
  </si>
  <si>
    <t>インボイス文書の文書名称</t>
    <rPh sb="0" eb="2">
      <t>トウゴウ</t>
    </rPh>
    <rPh sb="7" eb="8">
      <t>ブン</t>
    </rPh>
    <rPh sb="9" eb="11">
      <t>ゲンゴ</t>
    </rPh>
    <phoneticPr fontId="0"/>
  </si>
  <si>
    <t>インボイス文書名</t>
  </si>
  <si>
    <t>SIID2</t>
  </si>
  <si>
    <t>IBT-001</t>
  </si>
  <si>
    <t>UN01005862</t>
  </si>
  <si>
    <t>インボイス文書を識別する文書ID</t>
  </si>
  <si>
    <t>インボイス文書ID</t>
  </si>
  <si>
    <t>SIID1</t>
  </si>
  <si>
    <t>ASMA</t>
  </si>
  <si>
    <t>UN01005861</t>
  </si>
  <si>
    <t>インボイス文書に関する情報項目のグループ</t>
  </si>
  <si>
    <t>インボイス文書グループ</t>
  </si>
  <si>
    <t>SIGR1</t>
    <phoneticPr fontId="0"/>
  </si>
  <si>
    <t>UN01005478</t>
  </si>
  <si>
    <t>ドメインのバージョン発行日</t>
    <phoneticPr fontId="0"/>
  </si>
  <si>
    <t>バージョン発行日</t>
  </si>
  <si>
    <t>ID14</t>
  </si>
  <si>
    <t>UN01005476</t>
  </si>
  <si>
    <t>ドメインのバージョン識別番号</t>
  </si>
  <si>
    <t>バージョンID</t>
  </si>
  <si>
    <t>ID13</t>
  </si>
  <si>
    <t>UN01005473</t>
  </si>
  <si>
    <t>SIPSが付与したメッセージドメイン名称</t>
  </si>
  <si>
    <t>ドメイン名</t>
  </si>
  <si>
    <t>ID12</t>
  </si>
  <si>
    <t>JPSSMED</t>
  </si>
  <si>
    <t>ID値
固定入力</t>
  </si>
  <si>
    <t>UN01005472</t>
  </si>
  <si>
    <t>SIPSが付与したメッセージドメイン識別番号
中小企業共通EDIドメイン＝JPSSMED</t>
  </si>
  <si>
    <t>ドメインID</t>
  </si>
  <si>
    <t>ID11</t>
  </si>
  <si>
    <t>UN01005486</t>
  </si>
  <si>
    <t>SIPSのドメインに関する情報のグループ</t>
  </si>
  <si>
    <t>GR5</t>
  </si>
  <si>
    <t>業務アプリケーションが実装する業界・業種名称</t>
  </si>
  <si>
    <t>アプリケーション名</t>
  </si>
  <si>
    <t>ID10</t>
  </si>
  <si>
    <t>業務アプリケーションが実装する業界・業種識別番号</t>
  </si>
  <si>
    <t>アプリケーションID</t>
  </si>
  <si>
    <t>ID9</t>
  </si>
  <si>
    <t>UN01005484</t>
  </si>
  <si>
    <t>アプリケーションに関する情報のグループ</t>
  </si>
  <si>
    <t>GR4</t>
  </si>
  <si>
    <t>取引シナリオの名称</t>
  </si>
  <si>
    <t>取引シナリオ名</t>
  </si>
  <si>
    <t>ID8</t>
  </si>
  <si>
    <t>取引シナリオの識別番号</t>
  </si>
  <si>
    <t>取引シナリオID</t>
  </si>
  <si>
    <t>ID7</t>
  </si>
  <si>
    <t>UN01005483</t>
  </si>
  <si>
    <t>取引シナリオに関する情報のグループ</t>
  </si>
  <si>
    <t>GR3</t>
  </si>
  <si>
    <t>取引プロセスのバージョン発行日</t>
  </si>
  <si>
    <t>ID6</t>
  </si>
  <si>
    <t>IBT-024</t>
  </si>
  <si>
    <t>取引プロセスのバージョン識別番号</t>
  </si>
  <si>
    <t>ID5</t>
  </si>
  <si>
    <t>取引プロセスの名称</t>
  </si>
  <si>
    <t>取引プロセス名</t>
  </si>
  <si>
    <t>ID4</t>
  </si>
  <si>
    <t>IBT-023</t>
  </si>
  <si>
    <t>ID値
選択入力</t>
    <rPh sb="2" eb="3">
      <t>チ</t>
    </rPh>
    <rPh sb="4" eb="6">
      <t>センタク</t>
    </rPh>
    <phoneticPr fontId="0"/>
  </si>
  <si>
    <t>取引プロセスの識別番号
共通EDIプロバイダがプロセスをセットする</t>
  </si>
  <si>
    <t>取引プロセスID</t>
  </si>
  <si>
    <t>ID3</t>
  </si>
  <si>
    <t>IBG-02</t>
  </si>
  <si>
    <t>UN01005481</t>
  </si>
  <si>
    <t>△</t>
    <phoneticPr fontId="0"/>
  </si>
  <si>
    <t>GR2</t>
  </si>
  <si>
    <t>UN01012746</t>
  </si>
  <si>
    <t>メッセージがやり取りされる日時</t>
  </si>
  <si>
    <t>処理日時</t>
  </si>
  <si>
    <t>ID2</t>
  </si>
  <si>
    <t>UN01005480</t>
  </si>
  <si>
    <t>メッセージがやり取りされる取引識別番号</t>
  </si>
  <si>
    <t>取引ID</t>
  </si>
  <si>
    <t>ID1</t>
  </si>
  <si>
    <t>UN01005479</t>
  </si>
  <si>
    <t>メッセージの設定内容に関する情報からなるグループ</t>
  </si>
  <si>
    <t>取引設定グループ</t>
  </si>
  <si>
    <t>GR1</t>
  </si>
  <si>
    <t>MA</t>
  </si>
  <si>
    <t>v4/v4.3</t>
    <phoneticPr fontId="0"/>
  </si>
  <si>
    <t>－</t>
  </si>
  <si>
    <t>　　　　　　　　　　　　　　　　　　　　　　　　　　　　　　　　　　　　　　　　　　　　　　　　　　　　　　　　　　　　　　　　　　　　　　　　　　　　　　　　　　　　　　　　　　　　　　　　　　　　　　　　　　　　　　　　　　　　　　　　　　　　　　　　　　　　　　　　　　　　　　　　　　　　　　　　　　　　　　　　　　　　　　　　　　　　　　　　　　　　　　　　　　　　　　　　　　　　　　　　　　　　　　　　　　　　　　　　　　　　　　　　　　　　　　　　　　　　　　　　　　　　　　　　　　　　　　　　　　　　　　　　　　　　　　　　　　　　　　　　　　　　　　　　　　　　　　　　　　　　　　　　　　　　　　　　　　　　　　　　　　　　　　　　　　　　　　　　　　　　　　　　　　　　　　　　　　　　　　　　　　　　　　　　　　　　　　　　　　　　　　　　　　　　　　　　　　　　　　　　　　　　　　　　　　　　　　　　　　　　　　　　　　　　　　　　　　　　　　　　　　　　　　　　　　　　　　　　　　　　　　　　　　　　　　　　　　　　　　　　　　　　　　　　　　　　　　　　　　　　　　　　　　　　　　　　　　　　　　　　　　　　　　　　　　　　　　　　　　　　　　　　　　　　　　　　　　　　　　　　　　　　　　　　　　　　　　　　　　　　　　　　　　　　　　　　　　　　　　　　　　　　　　　　　　　　　　　　　　　　　　　　　　　　　　　　　　　　　　　　　　　　　　　　　　　　　　　　　　　　　　　　　　　　　　　　　　　　　　　　</t>
    <phoneticPr fontId="0"/>
  </si>
  <si>
    <t>仕入明細書</t>
    <rPh sb="0" eb="4">
      <t>シイレメイサイ</t>
    </rPh>
    <rPh sb="4" eb="5">
      <t>ショ</t>
    </rPh>
    <phoneticPr fontId="0"/>
  </si>
  <si>
    <t>Card.</t>
  </si>
  <si>
    <t>BusinesTerm</t>
  </si>
  <si>
    <t>Id</t>
    <phoneticPr fontId="0"/>
  </si>
  <si>
    <t>入力値
(コード定義値を入力)</t>
    <rPh sb="0" eb="2">
      <t>ニュウリョク</t>
    </rPh>
    <rPh sb="2" eb="3">
      <t>チ</t>
    </rPh>
    <rPh sb="8" eb="11">
      <t>テイギチ</t>
    </rPh>
    <rPh sb="12" eb="14">
      <t>ニュウリョク</t>
    </rPh>
    <phoneticPr fontId="0"/>
  </si>
  <si>
    <t>コード値
入力方法</t>
    <phoneticPr fontId="0"/>
  </si>
  <si>
    <t>コード表
管理者名</t>
    <rPh sb="8" eb="9">
      <t>メイ</t>
    </rPh>
    <phoneticPr fontId="0"/>
  </si>
  <si>
    <t>コード表ID</t>
  </si>
  <si>
    <t>項目種</t>
    <rPh sb="0" eb="2">
      <t>コウモク</t>
    </rPh>
    <rPh sb="2" eb="3">
      <t>シュ</t>
    </rPh>
    <phoneticPr fontId="0"/>
  </si>
  <si>
    <t>国連CEFACT 
共通辞書ID</t>
    <rPh sb="0" eb="2">
      <t>コクレン</t>
    </rPh>
    <rPh sb="10" eb="12">
      <t>キョウツウ</t>
    </rPh>
    <rPh sb="12" eb="14">
      <t>ジショ</t>
    </rPh>
    <phoneticPr fontId="0"/>
  </si>
  <si>
    <t>ヘッダ部/明細部</t>
    <rPh sb="3" eb="4">
      <t>ブ</t>
    </rPh>
    <rPh sb="7" eb="8">
      <t>ブ</t>
    </rPh>
    <phoneticPr fontId="0"/>
  </si>
  <si>
    <t>v1.0
（参考）</t>
    <rPh sb="6" eb="8">
      <t>サンコウ</t>
    </rPh>
    <phoneticPr fontId="0"/>
  </si>
  <si>
    <t>会計連携</t>
    <rPh sb="0" eb="2">
      <t>カイケイ</t>
    </rPh>
    <rPh sb="2" eb="4">
      <t>レンケイ</t>
    </rPh>
    <phoneticPr fontId="0"/>
  </si>
  <si>
    <t>区分１
コア
仕入明細</t>
    <rPh sb="0" eb="2">
      <t>クブン</t>
    </rPh>
    <phoneticPr fontId="0"/>
  </si>
  <si>
    <t>区分２
単一
仕入明細</t>
    <rPh sb="0" eb="2">
      <t>クブン</t>
    </rPh>
    <rPh sb="4" eb="6">
      <t>タンイツ</t>
    </rPh>
    <phoneticPr fontId="0"/>
  </si>
  <si>
    <t>区分３
統合
仕入明細</t>
    <rPh sb="0" eb="2">
      <t>クブン</t>
    </rPh>
    <rPh sb="4" eb="6">
      <t>トウゴウ</t>
    </rPh>
    <phoneticPr fontId="0"/>
  </si>
  <si>
    <t>制定/
改定</t>
    <rPh sb="0" eb="2">
      <t>セイテイ</t>
    </rPh>
    <rPh sb="4" eb="6">
      <t>カイテイ</t>
    </rPh>
    <phoneticPr fontId="0"/>
  </si>
  <si>
    <t>繰返し</t>
    <phoneticPr fontId="0"/>
  </si>
  <si>
    <t>項目定義</t>
    <rPh sb="0" eb="2">
      <t>コウモク</t>
    </rPh>
    <rPh sb="2" eb="4">
      <t>テイギ</t>
    </rPh>
    <phoneticPr fontId="0"/>
  </si>
  <si>
    <t>項目名</t>
    <rPh sb="0" eb="2">
      <t>コウモク</t>
    </rPh>
    <rPh sb="2" eb="3">
      <t>メイ</t>
    </rPh>
    <phoneticPr fontId="0"/>
  </si>
  <si>
    <t>GR/ID</t>
  </si>
  <si>
    <t>鑑ヘッダ/
明細文書ヘッダ/明細行</t>
    <rPh sb="0" eb="1">
      <t>カガミ</t>
    </rPh>
    <rPh sb="6" eb="8">
      <t>メイサイ</t>
    </rPh>
    <rPh sb="8" eb="10">
      <t>ブンショ</t>
    </rPh>
    <rPh sb="14" eb="16">
      <t>メイサイ</t>
    </rPh>
    <rPh sb="16" eb="17">
      <t>ギョウ</t>
    </rPh>
    <phoneticPr fontId="0"/>
  </si>
  <si>
    <t>行番号</t>
    <rPh sb="0" eb="1">
      <t>ギョウ</t>
    </rPh>
    <rPh sb="1" eb="3">
      <t>バンゴウ</t>
    </rPh>
    <phoneticPr fontId="0"/>
  </si>
  <si>
    <t>取引設定内容/取引プロセスグループ</t>
  </si>
  <si>
    <t>取引設定内容/取引シナリオグループ</t>
  </si>
  <si>
    <t>取引設定内容/アプリケーショングループ</t>
  </si>
  <si>
    <t>取引設定内容/ドメイングループ</t>
  </si>
  <si>
    <t>インボイス文書／注釈グループ</t>
  </si>
  <si>
    <t>インボイス文書／参照文書グループ</t>
  </si>
  <si>
    <t>インボイス文書／添付ファイルグループ</t>
  </si>
  <si>
    <t>インボイス文書契約／受注者グループ</t>
  </si>
  <si>
    <t>受注者国際アドレスID</t>
  </si>
  <si>
    <t>インボイス文書契約／発注者グループ</t>
  </si>
  <si>
    <t>発注者／連絡先グループ</t>
  </si>
  <si>
    <t>受注者／連絡先グループ</t>
  </si>
  <si>
    <t>受注者／住所グループ</t>
  </si>
  <si>
    <t>発注者／住所グループ</t>
  </si>
  <si>
    <t>インボイス文書契約／プロジェクト調達グループ</t>
  </si>
  <si>
    <t>インボイス文書取引内容／決済グループ</t>
  </si>
  <si>
    <t>インボイス文書決済／請求者グループ</t>
  </si>
  <si>
    <t>請求者／連絡先グループ</t>
  </si>
  <si>
    <t>請求者／住所グループ</t>
  </si>
  <si>
    <t>インボイス文書決済／請求先グループ</t>
  </si>
  <si>
    <t>請求先／連絡先グループ</t>
  </si>
  <si>
    <t>請求先／住所グループ</t>
  </si>
  <si>
    <t>受注者国際アドレス登録機関ID</t>
  </si>
  <si>
    <t>発注者国際アドレス登録機関ID</t>
  </si>
  <si>
    <t>請求者国際アドレス登録機関ID</t>
  </si>
  <si>
    <t>請求先国際アドレス登録機関ID</t>
  </si>
  <si>
    <t>支払先国際アドレス登録機関ID</t>
  </si>
  <si>
    <t>支払人国際アドレス登録機関ID</t>
  </si>
  <si>
    <t>インボイス文書決済／支払先グループ</t>
  </si>
  <si>
    <t>支払先／連絡先グループ</t>
  </si>
  <si>
    <t>支払先／住所グループ</t>
  </si>
  <si>
    <t>インボイス文書決済／支払人グループ</t>
  </si>
  <si>
    <t>支払人／連絡先グループ</t>
  </si>
  <si>
    <t>支払人／住所グループ</t>
  </si>
  <si>
    <t>支払人／国際アドレスグループ</t>
  </si>
  <si>
    <t>支払先／国際アドレスグループ</t>
  </si>
  <si>
    <t>請求先／国際アドレスグループ</t>
  </si>
  <si>
    <t>請求者／国際アドレスグループ</t>
  </si>
  <si>
    <t>発注者／国際アドレスグループ</t>
  </si>
  <si>
    <t>受注者／国際アドレスグループ</t>
  </si>
  <si>
    <t>インボイス文書決済／請求為替グループ</t>
  </si>
  <si>
    <t>請求為替交換元通貨コード</t>
  </si>
  <si>
    <t>請求為替交換先通貨コード</t>
  </si>
  <si>
    <t>請求為替レート</t>
  </si>
  <si>
    <t>請求為替レート日時</t>
  </si>
  <si>
    <t>支払為替交換元通貨コード</t>
  </si>
  <si>
    <t>支払為替交換先通貨コード</t>
  </si>
  <si>
    <t>支払為替レート</t>
  </si>
  <si>
    <t>支払為替レート日時</t>
  </si>
  <si>
    <t>インボイス文書決済／支払為替グループ</t>
  </si>
  <si>
    <t>インボイス文書決済／支払手段グループ</t>
  </si>
  <si>
    <t>支払手段／金融口座グループ</t>
  </si>
  <si>
    <t>支払手段／金融機関グループ</t>
  </si>
  <si>
    <t>金融機関／金融機関支店グループ</t>
  </si>
  <si>
    <t>支払手段／金融カードグループ</t>
  </si>
  <si>
    <t>インボイス文書決済／鑑ヘッダ税グループ</t>
  </si>
  <si>
    <t>SIID155.1</t>
  </si>
  <si>
    <t>鑑ヘッダ税タイプコード</t>
  </si>
  <si>
    <t>インボイス文書決済／鑑ヘッダ取引期間グループ</t>
  </si>
  <si>
    <t>インボイス文書決済／支払条件グループ</t>
  </si>
  <si>
    <t>インボイス文書決済／インボイス文書合計金額グループ</t>
  </si>
  <si>
    <t>インボイス文書総合計金額（税抜き）</t>
  </si>
  <si>
    <t>Σ明細文書ヘッダ譲渡資産合計金額(税抜き)+Σ明細文書ヘッダ返金合計金額(税抜き)+Σ明細文書ヘッダ追加請求合計金額(税抜き)</t>
  </si>
  <si>
    <t>Σ明細文書ヘッダ追加請求合計金額（税抜き）</t>
  </si>
  <si>
    <t>Σ明細文書ヘッダ返金合計金額（税抜き）</t>
  </si>
  <si>
    <t>Σ文書ヘッダ合計消費税額</t>
  </si>
  <si>
    <t>Σ明細文書ヘッダ譲渡資産合計金額(税抜き)+Σ明細文書ヘッダ返金合計金額(税抜き)+Σ明細文書ヘッダ追加請求合計金額(税抜き)＋Σ明細文書ヘッダ消費税合計額</t>
  </si>
  <si>
    <t>UN01005945</t>
  </si>
  <si>
    <t>SIID423.1</t>
  </si>
  <si>
    <t>ID</t>
  </si>
  <si>
    <t>business_term</t>
  </si>
  <si>
    <t>business_term_ja</t>
  </si>
  <si>
    <t>syn_card</t>
  </si>
  <si>
    <t>sem_card</t>
  </si>
  <si>
    <t>Xpath</t>
  </si>
  <si>
    <t>IBG-00</t>
  </si>
  <si>
    <t>Invoice</t>
  </si>
  <si>
    <t>デジタルインボイス</t>
  </si>
  <si>
    <t>/Invoice</t>
  </si>
  <si>
    <t>Invoice number</t>
  </si>
  <si>
    <t>請求書番号</t>
  </si>
  <si>
    <t>/Invoice/cbc:ID</t>
  </si>
  <si>
    <t>Invoice issue date</t>
  </si>
  <si>
    <t>請求書発行日</t>
  </si>
  <si>
    <t>/Invoice/cbc:IssueDate</t>
  </si>
  <si>
    <t>IBT-168</t>
  </si>
  <si>
    <t>Invoice issue time</t>
  </si>
  <si>
    <t>請求書発行時刻</t>
  </si>
  <si>
    <t>/Invoice/cbc:IssueTime</t>
  </si>
  <si>
    <t>Invoice type code</t>
  </si>
  <si>
    <t>請求書タイプコード</t>
  </si>
  <si>
    <t>/Invoice/cbc:InvoiceTypeCode</t>
  </si>
  <si>
    <t>Invoice currency code</t>
  </si>
  <si>
    <t>請求書通貨コード</t>
  </si>
  <si>
    <t>/Invoice/cbc:DocumentCurrencyCode</t>
  </si>
  <si>
    <t>Tax accounting currency</t>
  </si>
  <si>
    <t>税会計報告用通貨コード</t>
  </si>
  <si>
    <t>/Invoice/cbc:TaxCurrencyCode</t>
  </si>
  <si>
    <t>IBT-007</t>
  </si>
  <si>
    <t>TAX point date</t>
  </si>
  <si>
    <t>課税基準日</t>
  </si>
  <si>
    <t>/Invoice/cbc:TaxPointDate</t>
  </si>
  <si>
    <t>IBT-008</t>
  </si>
  <si>
    <t>TAX point date code</t>
  </si>
  <si>
    <t>課税基準日コード</t>
  </si>
  <si>
    <t>/Invoice/cac:InvoicePeriod/cbc:DescriptionCode</t>
  </si>
  <si>
    <t>Payment due date</t>
  </si>
  <si>
    <t>/Invoice/cbc:DueDate</t>
  </si>
  <si>
    <t>IBT-010</t>
  </si>
  <si>
    <t>Buyer reference</t>
  </si>
  <si>
    <t>買い手参照</t>
  </si>
  <si>
    <t>/Invoice/cbc:BuyerReference</t>
  </si>
  <si>
    <t>Project reference</t>
  </si>
  <si>
    <t>プロジェクト参照</t>
  </si>
  <si>
    <t>/Invoice/cac:ProjectReference/cbc:ID</t>
  </si>
  <si>
    <t>Contract reference</t>
  </si>
  <si>
    <t>契約書参照</t>
  </si>
  <si>
    <t>/Invoice/cac:ContractDocumentReference/cbc:ID</t>
  </si>
  <si>
    <t>Purchase order reference</t>
  </si>
  <si>
    <t>購買発注参照</t>
  </si>
  <si>
    <t>/Invoice/cac:OrderReference/cbc:ID</t>
  </si>
  <si>
    <t>Sales order reference</t>
  </si>
  <si>
    <t>受注参照</t>
  </si>
  <si>
    <t>/Invoice/cac:OrderReference/cbc:SalesOrderID</t>
  </si>
  <si>
    <t>Receiving advice reference</t>
  </si>
  <si>
    <t>受取通知書参照</t>
  </si>
  <si>
    <t>/Invoice/cac:ReceiptDocumentReference/cbc:ID</t>
  </si>
  <si>
    <t>Despatch advice reference</t>
  </si>
  <si>
    <t>出荷案内書参照</t>
  </si>
  <si>
    <t>/Invoice/cac:DespatchDocumentReference/cbc:ID</t>
  </si>
  <si>
    <t>Tender or lot reference</t>
  </si>
  <si>
    <t>入札又はロット参照</t>
  </si>
  <si>
    <t>/Invoice/cac:OriginatorDocumentReference/cbc:ID</t>
  </si>
  <si>
    <t>Invoiced object identifier</t>
  </si>
  <si>
    <t>請求するオブジェクトID</t>
  </si>
  <si>
    <t>/Invoice/cac:AdditionalDocumentReference[cbc:DocumentTypeCode='130']/cbc:ID</t>
  </si>
  <si>
    <t>The identification scheme identifier of the Invoiced object identifier.</t>
  </si>
  <si>
    <t>請求するオブジェクトIDのスキーマID</t>
  </si>
  <si>
    <t>/Invoice/cac:AdditionalDocumentReference[cbc:DocumentTypeCode='130']/cbc:ID/@schemeID</t>
  </si>
  <si>
    <t>Buyer accounting reference</t>
  </si>
  <si>
    <t>買い手会計参照</t>
  </si>
  <si>
    <t>/Invoice/cbc:AccountingCost</t>
  </si>
  <si>
    <t>PROCESS CONTROL</t>
  </si>
  <si>
    <t>プロセスコントロール</t>
  </si>
  <si>
    <t>Business process type</t>
  </si>
  <si>
    <t>ビジネスプロセスタイプ</t>
  </si>
  <si>
    <t>/Invoice/cbc:ProfileID</t>
  </si>
  <si>
    <t>Specification identifier</t>
  </si>
  <si>
    <t>仕様ID</t>
  </si>
  <si>
    <t>/Invoice/cbc:CustomizationID</t>
  </si>
  <si>
    <t>INVOICE TERMS</t>
  </si>
  <si>
    <t>支払条件</t>
  </si>
  <si>
    <t>/Invoice/cac:PaymentTerms</t>
  </si>
  <si>
    <t>支払条件指示ID</t>
  </si>
  <si>
    <t>/Invoice/cac:PaymentTerms/cbc:PaymentMeansID</t>
  </si>
  <si>
    <t>/Invoice/cac:PaymentTerms/cbc:Note</t>
  </si>
  <si>
    <t>/Invoice/cac:PaymentTerms/cbc:Amount</t>
  </si>
  <si>
    <t>IBT-177</t>
  </si>
  <si>
    <t>分割支払支払期日</t>
  </si>
  <si>
    <t>/Invoice/cac:PaymentTerms/cbc:InstallmentDueDate</t>
  </si>
  <si>
    <t>Invoice note</t>
  </si>
  <si>
    <t>請求書注釈内容</t>
  </si>
  <si>
    <t>/Invoice/cbc:Note</t>
  </si>
  <si>
    <t>PRECEDING INVOICE REFERENCE</t>
  </si>
  <si>
    <t>先行請求書への参照</t>
  </si>
  <si>
    <t>/Invoice/cac:BillingReference</t>
  </si>
  <si>
    <t>/Invoice/cac:BillingReference/cac:InvoiceDocumentReference/cbc:ID</t>
  </si>
  <si>
    <t>先行請求書発行日</t>
  </si>
  <si>
    <t>/Invoice/cac:BillingReference/cac:InvoiceDocumentReference/cbc:IssueDate</t>
  </si>
  <si>
    <t>売り手</t>
  </si>
  <si>
    <t>/Invoice/cac:AccountingSupplierParty</t>
  </si>
  <si>
    <t>売り手名称</t>
  </si>
  <si>
    <t>/Invoice/cac:AccountingSupplierParty/cac:Party/cac:PartyLegalEntity/cbc:RegistrationName</t>
  </si>
  <si>
    <t>IBT-028</t>
  </si>
  <si>
    <t>売り手商号</t>
  </si>
  <si>
    <t>/Invoice/cac:AccountingSupplierParty/cac:Party/cac:PartyName/cbc:Name</t>
  </si>
  <si>
    <t>売り手ID</t>
  </si>
  <si>
    <t>/Invoice/cac:AccountingSupplierParty/cac:Party/cac:PartyIdentification[cbc:ID/@schemeID!='SEPA']/cbc:ID</t>
  </si>
  <si>
    <t>売り手法人ID</t>
  </si>
  <si>
    <t>/Invoice/cac:AccountingSupplierParty/cac:Party/cac:PartyLegalEntity/cbc:CompanyID</t>
  </si>
  <si>
    <t>売り手税ID</t>
  </si>
  <si>
    <t>/Invoice/cac:AccountingSupplierParty/cac:Party/cac:PartyTaxScheme[cac:TaxScheme/cbc:ID='VAT']/cbc:CompanyID</t>
  </si>
  <si>
    <t>IBT-032</t>
  </si>
  <si>
    <t>売り手税登録ID</t>
  </si>
  <si>
    <t>/Invoice/cac:AccountingSupplierParty/cac:Party/cac:PartyTaxScheme[cac:TaxScheme/cbc:ID!='VAT']/cbc:CompanyID</t>
  </si>
  <si>
    <t>IBT-033</t>
  </si>
  <si>
    <t>売り手追加法的情報</t>
  </si>
  <si>
    <t>/Invoice/cac:AccountingSupplierParty/cac:Party/cac:PartyLegalEntity/cbc:CompanyLegalForm</t>
  </si>
  <si>
    <t>売り手電子アドレス</t>
  </si>
  <si>
    <t>/Invoice/cac:AccountingSupplierParty/cac:Party/cbc:EndpointID</t>
  </si>
  <si>
    <t>スキーマID</t>
  </si>
  <si>
    <t>/Invoice/cac:AccountingSupplierParty/cac:Party/cbc:EndpointID/@scemeID</t>
  </si>
  <si>
    <t>売り手住所</t>
  </si>
  <si>
    <t>/Invoice/cac:AccountingSupplierParty/cac:Party/cac:PostalAddress</t>
  </si>
  <si>
    <t>売り手住所欄1</t>
  </si>
  <si>
    <t>/Invoice/cac:AccountingSupplierParty/cac:Party/cac:PostalAddress/cbc:StreetName</t>
  </si>
  <si>
    <t>売り手住所欄2</t>
  </si>
  <si>
    <t>/Invoice/cac:AccountingSupplierParty/cac:Party/cac:PostalAddress/cbc:AdditionalStreetName</t>
  </si>
  <si>
    <t>売り手住所欄3</t>
  </si>
  <si>
    <t>/Invoice/cac:AccountingSupplierParty/cac:Party/cac:PostalAddress/cac:AddressLine/cbc:Line</t>
  </si>
  <si>
    <t>IBT-037</t>
  </si>
  <si>
    <t>売り手住所 市区町村</t>
  </si>
  <si>
    <t>/Invoice/cac:AccountingSupplierParty/cac:Party/cac:PostalAddress/cbc:CityName</t>
  </si>
  <si>
    <t>売り手郵便番号</t>
  </si>
  <si>
    <t>/Invoice/cac:AccountingSupplierParty/cac:Party/cac:PostalAddress/cbc:PostalZone</t>
  </si>
  <si>
    <t>IBT-039</t>
  </si>
  <si>
    <t>売り手住所 都道府県</t>
  </si>
  <si>
    <t>/Invoice/cac:AccountingSupplierParty/cac:Party/cac:PostalAddress/cbc:CountrySubentity</t>
  </si>
  <si>
    <t>売り手国コード</t>
  </si>
  <si>
    <t>/Invoice/cac:AccountingSupplierParty/cac:Party/cac:PostalAddress/cac:Country/cbc:IdentificationCode</t>
  </si>
  <si>
    <t>売り手連絡先</t>
  </si>
  <si>
    <t>/Invoice/cac:AccountingSupplierParty/cac:Party/cac:Contact</t>
  </si>
  <si>
    <t>/Invoice/cac:AccountingSupplierParty/cac:Party/cac:Contact/cbc:Name</t>
  </si>
  <si>
    <t>売り手連絡先電話番号</t>
  </si>
  <si>
    <t>/Invoice/cac:AccountingSupplierParty/cac:Party/cac:Contact/cbc:Telephone</t>
  </si>
  <si>
    <t>売り手連絡先電子メールアドレス</t>
  </si>
  <si>
    <t>/Invoice/cac:AccountingSupplierParty/cac:Party/cac:Contact/cbc:ElectronicMail</t>
  </si>
  <si>
    <t>買い手</t>
  </si>
  <si>
    <t>/Invoice/cac:AccountingCustomerParty</t>
  </si>
  <si>
    <t>買い手名称</t>
  </si>
  <si>
    <t>/Invoice/cac:AccountingCustomerParty/cac:Party/cac:PartyLegalEntity/cbc:RegistrationName</t>
  </si>
  <si>
    <t>IBT-045</t>
  </si>
  <si>
    <t>買い手商号</t>
  </si>
  <si>
    <t>/Invoice/cac:AccountingCustomerParty/cac:Party/cac:PartyName/cbc:Name</t>
  </si>
  <si>
    <t>買い手ID</t>
  </si>
  <si>
    <t>/Invoice/cac:AccountingCustomerParty/cac:Party/cac:PartyIdentification/cbc:ID</t>
  </si>
  <si>
    <t>買い手法人ID</t>
  </si>
  <si>
    <t>/Invoice/cac:AccountingCustomerParty/cac:Party/cac:PartyLegalEntity/cbc:CompanyID</t>
  </si>
  <si>
    <t>買い手税ID</t>
  </si>
  <si>
    <t>/Invoice/cac:AccountingCustomerParty/cac:Party/cac:PartyTaxScheme/cbc:CompanyID</t>
  </si>
  <si>
    <t>買い手電子アドレス</t>
  </si>
  <si>
    <t>/Invoice/cac:AccountingCustomerParty/cac:Party/cbc:EndpointID</t>
  </si>
  <si>
    <t>/Invoice/cac:AccountingCustomerParty/cac:Party/cbc:EndpointID/@scemeID</t>
  </si>
  <si>
    <t>買い手住所</t>
  </si>
  <si>
    <t>/Invoice/cac:AccountingCustomerParty/cac:Party/cac:PostalAddress</t>
  </si>
  <si>
    <t>買い手住所欄1</t>
  </si>
  <si>
    <t>/Invoice/cac:AccountingCustomerParty/cac:Party/cac:PostalAddress/cbc:StreetName</t>
  </si>
  <si>
    <t>買い手住所欄2</t>
  </si>
  <si>
    <t>/Invoice/cac:AccountingCustomerParty/cac:Party/cac:PostalAddress/cbc:AdditionalStreetName</t>
  </si>
  <si>
    <t>買い手住所欄3</t>
  </si>
  <si>
    <t>/Invoice/cac:AccountingCustomerParty/cac:Party/cac:PostalAddress/cac:AddressLine/cbc:Line</t>
  </si>
  <si>
    <t>IBT-052</t>
  </si>
  <si>
    <t>買い手住所 市区町村</t>
  </si>
  <si>
    <t>/Invoice/cac:AccountingCustomerParty/cac:Party/cac:PostalAddress/cbc:CityName</t>
  </si>
  <si>
    <t>買い手郵便番号</t>
  </si>
  <si>
    <t>/Invoice/cac:AccountingCustomerParty/cac:Party/cac:PostalAddress/cbc:PostalZone</t>
  </si>
  <si>
    <t>IBT-054</t>
  </si>
  <si>
    <t>買い手住所 都道府県</t>
  </si>
  <si>
    <t>/Invoice/cac:AccountingCustomerParty/cac:Party/cac:PostalAddress/cbc:CountrySubentity</t>
  </si>
  <si>
    <t>買い手国コード</t>
  </si>
  <si>
    <t>/Invoice/cac:AccountingCustomerParty/cac:Party/cac:PostalAddress/cac:Country/cbc:IdentificationCode</t>
  </si>
  <si>
    <t>買い手連絡先</t>
  </si>
  <si>
    <t>/Invoice/cac:AccountingCustomerParty/cac:Party/cac:Contact</t>
  </si>
  <si>
    <t>/Invoice/cac:AccountingCustomerParty/cac:Party/cac:Contact/cbc:Name</t>
  </si>
  <si>
    <t>買い手連絡先電話番号</t>
  </si>
  <si>
    <t>/Invoice/cac:AccountingCustomerParty/cac:Party/cac:Contact/cbc:Telephone</t>
  </si>
  <si>
    <t>買い手連絡先電子メールアドレス</t>
  </si>
  <si>
    <t>/Invoice/cac:AccountingCustomerParty/cac:Party/cac:Contact/cbc:ElectronicMail</t>
  </si>
  <si>
    <t>支払先</t>
  </si>
  <si>
    <t>/Invoice/cac:PayeeParty</t>
  </si>
  <si>
    <t>/Invoice/cac:PayeeParty/cac:PartyName/cbc:Name</t>
  </si>
  <si>
    <t>/Invoice/cac:PayeeParty/cac:PartyIdentification/cbc:ID</t>
  </si>
  <si>
    <t>IBT-060-1</t>
  </si>
  <si>
    <t>/Invoice/cac:PayeeParty/cac:PartyIdentification/cbc:ID/@schemeID</t>
  </si>
  <si>
    <t>支払先登録企業ID</t>
  </si>
  <si>
    <t>/Invoice/cac:PayeeParty/cac:PartyLegalEntity/cbc:CompanyID</t>
  </si>
  <si>
    <t>IBG-11</t>
  </si>
  <si>
    <t>SELLER TAX REPRESENTATIVE PARTY</t>
  </si>
  <si>
    <t>売り手税務代理人</t>
  </si>
  <si>
    <t>/Invoice/cac:TaxRepresentativeParty</t>
  </si>
  <si>
    <t>IBT-062</t>
  </si>
  <si>
    <t>売り手税務代理人名称</t>
  </si>
  <si>
    <t>/Invoice/cac:TaxRepresentativeParty/cac:PartyName/cbc:Name</t>
  </si>
  <si>
    <t>IBT-063</t>
  </si>
  <si>
    <t>売り手税務代理人税ID</t>
  </si>
  <si>
    <t>/Invoice/cac:TaxRepresentativeParty/cac:PartyTaxScheme/cbc:CompanyID</t>
  </si>
  <si>
    <t>IBG-12</t>
  </si>
  <si>
    <t>売り手税務代理人住所</t>
  </si>
  <si>
    <t>/Invoice/cac:TaxRepresentativeParty/cac:PostalAddress</t>
  </si>
  <si>
    <t>IBT-064</t>
  </si>
  <si>
    <t>税務代理人住所欄1</t>
  </si>
  <si>
    <t>/Invoice/cac:TaxRepresentativeParty/cac:PostalAddress/cbc:StreetName</t>
  </si>
  <si>
    <t>IBT-065</t>
  </si>
  <si>
    <t>税務代理人住所欄2</t>
  </si>
  <si>
    <t>/Invoice/cac:TaxRepresentativeParty/cac:PostalAddress/cbc:AdditionalStreetName</t>
  </si>
  <si>
    <t>IBT-164</t>
  </si>
  <si>
    <t>税務代理人住所欄3</t>
  </si>
  <si>
    <t>/Invoice/cac:TaxRepresentativeParty/cac:PostalAddress/cac:AddressLine/cbc:Line</t>
  </si>
  <si>
    <t>IBT-066</t>
  </si>
  <si>
    <t>税務代理人住所 市区町村</t>
  </si>
  <si>
    <t>/Invoice/cac:TaxRepresentativeParty/cac:PostalAddress/cbc:CityName</t>
  </si>
  <si>
    <t>IBT-067</t>
  </si>
  <si>
    <t>税務代理人郵便番号</t>
  </si>
  <si>
    <t>/Invoice/cac:TaxRepresentativeParty/cac:PostalAddress/cbc:PostalZone</t>
  </si>
  <si>
    <t>IBT-068</t>
  </si>
  <si>
    <t>税務代理人住所 都道府県</t>
  </si>
  <si>
    <t>/Invoice/cac:TaxRepresentativeParty/cac:PostalAddress/cbc:CountrySubentity</t>
  </si>
  <si>
    <t>IBT-069</t>
  </si>
  <si>
    <t>税務代理人国コード</t>
  </si>
  <si>
    <t>/Invoice/cac:TaxRepresentativeParty/cac:PostalAddress/cac:Country/cbc:IdentificationCode</t>
  </si>
  <si>
    <t>IBG-13</t>
  </si>
  <si>
    <t>DELIVERY INFORMATION</t>
  </si>
  <si>
    <t>納入先</t>
  </si>
  <si>
    <t>/Invoice/cac:Delivery</t>
  </si>
  <si>
    <t>/Invoice/cac:Delivery/cac:DeliveryParty/cac:PartyName/cbc:Name</t>
  </si>
  <si>
    <t>/Invoice/cac:Delivery/cac:DeliveryLocation/cbc:ID</t>
  </si>
  <si>
    <t>IBT-071-1</t>
  </si>
  <si>
    <t>/Invoice/cac:Delivery/cac:DeliveryLocation/cbc:ID/@schemeID</t>
  </si>
  <si>
    <t>実際納入日</t>
  </si>
  <si>
    <t>/Invoice/cac:Delivery/cbc:ActualDeliveryDate</t>
  </si>
  <si>
    <t>請求期間</t>
  </si>
  <si>
    <t>/Invoice/cac:InvoicePeriod</t>
  </si>
  <si>
    <t>請求期間開始日</t>
  </si>
  <si>
    <t>/Invoice/cac:InvoicePeriod/cbc:StartDate</t>
  </si>
  <si>
    <t>請求期間終了日</t>
  </si>
  <si>
    <t>/Invoice/cac:InvoicePeriod/cbc:EndDate</t>
  </si>
  <si>
    <t>納入先住所</t>
  </si>
  <si>
    <t>/Invoice/cac:Delivery/cac:DeliveryLocation/cac:Address</t>
  </si>
  <si>
    <t>納入先住所欄1</t>
  </si>
  <si>
    <t>/Invoice/cac:Delivery/cac:DeliveryLocation/cac:Address/cbc:StreetName</t>
  </si>
  <si>
    <t>納入先住所欄2</t>
  </si>
  <si>
    <t>/Invoice/cac:Delivery/cac:DeliveryLocation/cac:Address/cbc:AdditionalStreetName</t>
  </si>
  <si>
    <t>納入先住所欄3</t>
  </si>
  <si>
    <t>/Invoice/cac:Delivery/cac:DeliveryLocation/cac:Address/cac:AddressLine/cbc:Line</t>
  </si>
  <si>
    <t>IBT-077</t>
  </si>
  <si>
    <t>納入先住所 市区町村</t>
  </si>
  <si>
    <t>/Invoice/cac:Delivery/cac:DeliveryLocation/cac:Address/cbc:CityName</t>
  </si>
  <si>
    <t>/Invoice/cac:Delivery/cac:DeliveryLocation/cac:Address/cbc:PostalZone</t>
  </si>
  <si>
    <t>IBT-079</t>
  </si>
  <si>
    <t>納入先住所 都道府県</t>
  </si>
  <si>
    <t>/Invoice/cac:Delivery/cac:DeliveryLocation/cac:Address/cbc:CountrySubentity</t>
  </si>
  <si>
    <t>納入先国コード</t>
  </si>
  <si>
    <t>/Invoice/cac:Delivery/cac:DeliveryLocation/cac:Address/cac:Country/cbc:IdentificationCode</t>
  </si>
  <si>
    <t>PAYMENT INSTRUCTIONS</t>
  </si>
  <si>
    <t>支払指示</t>
  </si>
  <si>
    <t>/Invoice/cac:PaymentMeans</t>
  </si>
  <si>
    <t>IBT-178</t>
  </si>
  <si>
    <t>支払指示ID</t>
  </si>
  <si>
    <t>/Invoice/cac:PaymentMeans/cbc:ID</t>
  </si>
  <si>
    <t>/Invoice/cac:PaymentMeans/cbc:PaymentMeansCode</t>
  </si>
  <si>
    <t>支払手段内容説明</t>
  </si>
  <si>
    <t>/Invoice/cac:PaymentMeans/cbc:PaymentMeansCode/@name</t>
  </si>
  <si>
    <t>IBT-083</t>
  </si>
  <si>
    <t>送金情報</t>
  </si>
  <si>
    <t>/Invoice/cac:PaymentMeans/cbc:PaymentID</t>
  </si>
  <si>
    <t>銀行振込</t>
  </si>
  <si>
    <t>/Invoice/cac:PaymentMeans/cac:PayeeFinancialAccount</t>
  </si>
  <si>
    <t>支払先口座ID</t>
  </si>
  <si>
    <t>/Invoice/cac:PaymentMeans/cac:PayeeFinancialAccount/cbc:ID</t>
  </si>
  <si>
    <t>IBT-084-1</t>
  </si>
  <si>
    <t>/Invoice/cac:PaymentMeans/cac:PayeeFinancialAccount/cbc:ID/@schemeID</t>
  </si>
  <si>
    <t>支払先口座名義人名</t>
  </si>
  <si>
    <t>/Invoice/cac:PaymentMeans/cac:PayeeFinancialAccount/cbc:Name</t>
  </si>
  <si>
    <t>IBT-086</t>
  </si>
  <si>
    <t>支払先金融機関ID</t>
  </si>
  <si>
    <t>/Invoice/cac:PaymentMeans/cac:PayeeFinancialAccount/cac:FinancialInstitutionBranch/cbc:ID</t>
  </si>
  <si>
    <t>IBG-34</t>
  </si>
  <si>
    <t>住所</t>
  </si>
  <si>
    <t>/Invoice/cac:PaymentMeans/cac:PayeeFinancialAccount/cac:FinancialInstitutionBranch/cac:Address</t>
  </si>
  <si>
    <t>IBT-169</t>
  </si>
  <si>
    <t>支払先口座住所欄1</t>
  </si>
  <si>
    <t>/Invoice/cac:PaymentMeans/cac:PayeeFinancialAccount/cac:FinancialInstitutionBranch/cac:Address/cbc:StreetName</t>
  </si>
  <si>
    <t>IBT-170</t>
  </si>
  <si>
    <t>支払先口座住所欄2</t>
  </si>
  <si>
    <t>/Invoice/cac:PaymentMeans/cac:PayeeFinancialAccount/cac:FinancialInstitutionBranch/cac:Address/cbc:AdditionalStreetName</t>
  </si>
  <si>
    <t>IBT-171</t>
  </si>
  <si>
    <t>支払先口座住所 市区町村</t>
  </si>
  <si>
    <t>/Invoice/cac:PaymentMeans/cac:PayeeFinancialAccount/cac:FinancialInstitutionBranch/cac:Address/cbc:CityName</t>
  </si>
  <si>
    <t>IBT-172</t>
  </si>
  <si>
    <t>支払先口座郵便番号</t>
  </si>
  <si>
    <t>/Invoice/cac:PaymentMeans/cac:PayeeFinancialAccount/cac:FinancialInstitutionBranch/cac:Address/cbc:PostalZone</t>
  </si>
  <si>
    <t>IBT-173</t>
  </si>
  <si>
    <t>支払先口座住所 都道府県</t>
  </si>
  <si>
    <t>/Invoice/cac:PaymentMeans/cac:PayeeFinancialAccount/cac:FinancialInstitutionBranch/cac:Address/cbc:CountrySubentity</t>
  </si>
  <si>
    <t>IBT-174</t>
  </si>
  <si>
    <t>支払先口座住所欄3</t>
  </si>
  <si>
    <t>/Invoice/cac:PaymentMeans/cac:PayeeFinancialAccount/cac:FinancialInstitutionBranch/cac:Address/cac:AddressLine/cbc:Line</t>
  </si>
  <si>
    <t>IBT-175</t>
  </si>
  <si>
    <t>支払先口座国コード</t>
  </si>
  <si>
    <t>/Invoice/cac:PaymentMeans/cac:PayeeFinancialAccount/cac:FinancialInstitutionBranch/cac:Address/cac:Country/cbc:IdentificationCode</t>
  </si>
  <si>
    <t>支払カード情報</t>
  </si>
  <si>
    <t>/Invoice/cac:PaymentMeans/cac:CardAccount</t>
  </si>
  <si>
    <t>支払カード番号</t>
  </si>
  <si>
    <t>/Invoice/cac:PaymentMeans/cac:CardAccount/cbc:PrimaryAccountNumberID</t>
  </si>
  <si>
    <t>カード名義人氏名</t>
  </si>
  <si>
    <t>/Invoice/cac:PaymentMeans/cac:CardAccount/cbc:HolderName</t>
  </si>
  <si>
    <t>IBG-19</t>
  </si>
  <si>
    <t>自動口座引落</t>
  </si>
  <si>
    <t>/Invoice/cac:PaymentMeans/cac:PaymentMandate</t>
  </si>
  <si>
    <t>IBT-089</t>
  </si>
  <si>
    <t>マンデーション参照ID</t>
  </si>
  <si>
    <t>/Invoice/cac:PaymentMeans/cac:PaymentMandate/cbc:ID</t>
  </si>
  <si>
    <t>IBT-091</t>
  </si>
  <si>
    <t>自動引落口座ID</t>
  </si>
  <si>
    <t>/Invoice/cac:PaymentMeans/cac:PaymentMandate/cac:PayerFinancialAccount/cbc:ID</t>
  </si>
  <si>
    <t>Paid amounts</t>
  </si>
  <si>
    <t>支払済金額</t>
  </si>
  <si>
    <t>/Invoice/cac:PrepaidPayment</t>
  </si>
  <si>
    <t>支払ID</t>
  </si>
  <si>
    <t>/Invoice/cac:PrepaidPayment/cbc:ID</t>
  </si>
  <si>
    <t>/Invoice/cac:PrepaidPayment/cbc:PaidAmount</t>
  </si>
  <si>
    <t>支払済金額が請求書に差引記載される日</t>
  </si>
  <si>
    <t>/Invoice/cac:PrepaidPayment/cbc:ReceivedDate</t>
  </si>
  <si>
    <t>支払タイプ</t>
  </si>
  <si>
    <t>/Invoice/cac:PrepaidPayment/cbc:InstructionID</t>
  </si>
  <si>
    <t>DOCUMENT LEVEL ALLOWANCES</t>
  </si>
  <si>
    <t>請求書レベルの返金</t>
  </si>
  <si>
    <t>/Invoice/cac:AllowanceCharge[cbc:ChargeIndicator=false()]</t>
  </si>
  <si>
    <t>請求書レベルの返金金額(税抜き)</t>
  </si>
  <si>
    <t>/Invoice/cac:AllowanceCharge[cbc:ChargeIndicator=false()]/cbc:Amount</t>
  </si>
  <si>
    <t>請求書レベルの返金金額の基準となる金額</t>
  </si>
  <si>
    <t>/Invoice/cac:AllowanceCharge[cbc:ChargeIndicator=false()]/cbc:BaseAmount</t>
  </si>
  <si>
    <t>請求書レベルの返金の率</t>
  </si>
  <si>
    <t>/Invoice/cac:AllowanceCharge[cbc:ChargeIndicator=false()]/cbc:MultiplierFactorNumeric</t>
  </si>
  <si>
    <t>請求書レベルの返金の理由</t>
  </si>
  <si>
    <t>/Invoice/cac:AllowanceCharge[cbc:ChargeIndicator=false()]/cbc:AllowanceChargeReason</t>
  </si>
  <si>
    <t>請求書レベルの返金の理由コード</t>
  </si>
  <si>
    <t>/Invoice/cac:AllowanceCharge[cbc:ChargeIndicator=false()]/cbc:AllowanceChargeReasonCode</t>
  </si>
  <si>
    <t>請求書レベルの返金の課税分類コード</t>
  </si>
  <si>
    <t>/Invoice/cac:AllowanceCharge[cbc:ChargeIndicator=false()]/cac:TaxCategory/cbc:ID</t>
  </si>
  <si>
    <t>請求書レベルの返金の税率</t>
  </si>
  <si>
    <t>/Invoice/cac:AllowanceCharge[cbc:ChargeIndicator=false()]/cac:TaxCategory/cbc:Percent</t>
  </si>
  <si>
    <t>DOCUMENT LEVEL CHARGES</t>
  </si>
  <si>
    <t>請求書レベルの追加請求</t>
  </si>
  <si>
    <t>/Invoice/cac:AllowanceCharge[cbc:ChargeIndicator=true()]</t>
  </si>
  <si>
    <t>請求書レベルの追加請求金額(税抜き)</t>
  </si>
  <si>
    <t>/Invoice/cac:AllowanceCharge[cbc:ChargeIndicator=true()]/cbc:Amount</t>
  </si>
  <si>
    <t>請求書レベルの追加請求金額の基準となる金額</t>
  </si>
  <si>
    <t>/Invoice/cac:AllowanceCharge[cbc:ChargeIndicator=true()]/cbc:BaseAmount</t>
  </si>
  <si>
    <t>請求書レベルの追加請求の率</t>
  </si>
  <si>
    <t>/Invoice/cac:AllowanceCharge[cbc:ChargeIndicator=true()]/cbc:MultiplierFactorNumeric</t>
  </si>
  <si>
    <t>請求書レベルの追加請求の理由</t>
  </si>
  <si>
    <t>/Invoice/cac:AllowanceCharge[cbc:ChargeIndicator=true()]/cbc:AllowanceChargeReason</t>
  </si>
  <si>
    <t>請求書レベルの追加請求の理由コード</t>
  </si>
  <si>
    <t>/Invoice/cac:AllowanceCharge[cbc:ChargeIndicator=true()]/cbc:AllowanceChargeReasonCode</t>
  </si>
  <si>
    <t>請求書レベルの追加請求の課税分類コード</t>
  </si>
  <si>
    <t>/Invoice/cac:AllowanceCharge[cbc:ChargeIndicator=true()]/cac:TaxCategory/cbc:ID</t>
  </si>
  <si>
    <t>請求書レベルの追加請求の税率</t>
  </si>
  <si>
    <t>/Invoice/cac:AllowanceCharge[cbc:ChargeIndicator=true()]/cac:TaxCategory/cbc:Percent</t>
  </si>
  <si>
    <t>DOCUMENT TOTALS</t>
  </si>
  <si>
    <t>請求書総合計金額</t>
  </si>
  <si>
    <t>/Invoice/cac:LegalMonetaryTotal</t>
  </si>
  <si>
    <t>値引後請求書明細行金額の合計</t>
  </si>
  <si>
    <t>/Invoice/cac:LegalMonetaryTotal/cbc:LineExtensionAmount</t>
  </si>
  <si>
    <t>請求書レベルの返金の合計</t>
  </si>
  <si>
    <t>/Invoice/cac:LegalMonetaryTotal/cbc:AllowanceTotalAmount</t>
  </si>
  <si>
    <t>請求書レベルの追加請求の合計</t>
  </si>
  <si>
    <t>/Invoice/cac:LegalMonetaryTotal/cbc:ChargeTotalAmount</t>
  </si>
  <si>
    <t>請求書合計金額(税抜き)</t>
  </si>
  <si>
    <t>/Invoice/cac:LegalMonetaryTotal/cbc:TaxExclusiveAmount</t>
  </si>
  <si>
    <t>請求書消費税合計金額</t>
  </si>
  <si>
    <t>/Invoice/cac:TaxTotal[cbc:TaxAmount/@currencyID=/Invoice/cbc:DocumentCurrencyCode]/cbc:TaxAmount</t>
  </si>
  <si>
    <t>請求書合計金額(税込み)</t>
  </si>
  <si>
    <t>/Invoice/cac:LegalMonetaryTotal/cbc:TaxInclusiveAmount</t>
  </si>
  <si>
    <t>/Invoice/cac:LegalMonetaryTotal/cbc:PrepaidAmount</t>
  </si>
  <si>
    <t>IBT-114</t>
  </si>
  <si>
    <t>丸めるための金額</t>
  </si>
  <si>
    <t>/Invoice/cac:LegalMonetaryTotal/cbc:PayableRoundingAmount</t>
  </si>
  <si>
    <t>差引請求金額</t>
  </si>
  <si>
    <t>/Invoice/cac:LegalMonetaryTotal/cbc:PayableAmount</t>
  </si>
  <si>
    <t>IBG-37</t>
  </si>
  <si>
    <t>DOCUMENT TOTALS IN TAX ACCOUNTING CURRENCY</t>
  </si>
  <si>
    <t>会計通貨での請求書総合計金額</t>
  </si>
  <si>
    <t>/Invoice/cac:TaxTotal[cbc:TaxAmount/@currencyID=/Invoice/cbc:TaxCurrencyCode]</t>
  </si>
  <si>
    <t>IBT-111</t>
  </si>
  <si>
    <t>会計通貨での請求書消費税合計金額</t>
  </si>
  <si>
    <t>/Invoice/cac:TaxTotal[cbc:TaxAmount/@currencyID=/Invoice/cbc:TaxCurrencyCode]/cbc:TaxAmount</t>
  </si>
  <si>
    <t>会計通貨での税内訳情報</t>
  </si>
  <si>
    <t>/Invoice/cac:TaxTotal[cbc:TaxAmount/@currencyID=/Invoice/cbc:TaxCurrencyCode]/cac:TaxSubtotal</t>
  </si>
  <si>
    <t>会計通貨での課税分類毎の消費税額</t>
  </si>
  <si>
    <t>/Invoice/cac:TaxTotal[cbc:TaxAmount/@currencyID=/Invoice/cbc:TaxCurrencyCode]/cac:TaxSubtotal/cbc:TaxAmount</t>
  </si>
  <si>
    <t>会計通貨での課税分類コード</t>
  </si>
  <si>
    <t>/Invoice/cac:TaxTotal[cbc:TaxAmount/@currencyID=/Invoice/cbc:TaxCurrencyCode]/cac:TaxSubtotal/cac:TaxCategory/cbc:ID</t>
  </si>
  <si>
    <t>会計通貨での課税分類毎の税率</t>
  </si>
  <si>
    <t>/Invoice/cac:TaxTotal[cbc:TaxAmount/@currencyID=/Invoice/cbc:TaxCurrencyCode]/cac:TaxSubtotal/cac:TaxCategory/cbc:Percent</t>
  </si>
  <si>
    <t>TAX BREAKDOWN</t>
  </si>
  <si>
    <t>税内訳情報</t>
  </si>
  <si>
    <t>/Invoice/cac:TaxTotal[cbc:TaxAmount/@currencyID=/Invoice/cbc:DocumentCurrencyCode]/cac:TaxSubtotal</t>
  </si>
  <si>
    <t>課税分類毎の課税基準額</t>
  </si>
  <si>
    <t>/Invoice/cac:TaxTotal[cbc:TaxAmount/@currencyID=/Invoice/cbc:DocumentCurrencyCode]/cac:TaxSubtotal/cbc:TaxableAmount</t>
  </si>
  <si>
    <t>課税分類毎の消費税額</t>
  </si>
  <si>
    <t>/Invoice/cac:TaxTotal[cbc:TaxAmount/@currencyID=/Invoice/cbc:DocumentCurrencyCode]/cac:TaxSubtotal/cbc:TaxAmount</t>
  </si>
  <si>
    <t>/Invoice/cac:TaxTotal[cbc:TaxAmount/@currencyID=/Invoice/cbc:DocumentCurrencyCode]/cac:TaxSubtotal/cac:TaxCategory/cbc:ID</t>
  </si>
  <si>
    <t>課税分類毎の税率</t>
  </si>
  <si>
    <t>/Invoice/cac:TaxTotal[cbc:TaxAmount/@currencyID=/Invoice/cbc:DocumentCurrencyCode]/cac:TaxSubtotal/cac:TaxCategory/cbc:Percent</t>
  </si>
  <si>
    <t>ADDITIONAL SUPPORTING DOCUMENTS</t>
  </si>
  <si>
    <t>添付書類</t>
  </si>
  <si>
    <t>/Invoice/cac:AdditionalDocumentReference[cbc:DocumentTypeCode!='130']</t>
  </si>
  <si>
    <t>添付書類への参照</t>
  </si>
  <si>
    <t>/Invoice/cac:AdditionalDocumentReference[cbc:DocumentTypeCode!='130']/cbc:ID</t>
  </si>
  <si>
    <t>添付書類の説明</t>
  </si>
  <si>
    <t>/Invoice/cac:AdditionalDocumentReference[cbc:DocumentTypeCode!='130']/cbc:DocumentDescription</t>
  </si>
  <si>
    <t>/Invoice/cac:AdditionalDocumentReference[cbc:DocumentTypeCode!='130']/cac:Attachment/cbc:EmbeddedDocumentBinaryObject</t>
  </si>
  <si>
    <t>IBT-125-1</t>
  </si>
  <si>
    <t>添付書類MIMEコード</t>
  </si>
  <si>
    <t>/Invoice/cac:AdditionalDocumentReference[cbc:DocumentTypeCode!='130']/cac:Attachment/cbc:EmbeddedDocumentBinaryObject/@mimeCode</t>
  </si>
  <si>
    <t>IBT-125-2</t>
  </si>
  <si>
    <t>添付書類ファイル名</t>
  </si>
  <si>
    <t>/Invoice/cac:AdditionalDocumentReference[cbc:DocumentTypeCode!='130']/cac:Attachment/cbc:EmbeddedDocumentBinaryObject/@filename</t>
  </si>
  <si>
    <t>外部ドキュメントのロケーション</t>
  </si>
  <si>
    <t>/Invoice/cac:AdditionalDocumentReference[cbc:DocumentTypeCode!='130']/cac:Attachment/cac:ExternalReference/cbc:URI</t>
  </si>
  <si>
    <t>INVOICE LINE</t>
  </si>
  <si>
    <t>請求書明細行</t>
  </si>
  <si>
    <t>/Invoice/cac:InvoiceLine</t>
  </si>
  <si>
    <t>請求書明細行ID</t>
  </si>
  <si>
    <t>/Invoice/cac:InvoiceLine/cbc:ID</t>
  </si>
  <si>
    <t>請求書明細行注釈</t>
  </si>
  <si>
    <t>/Invoice/cac:InvoiceLine/cbc:Note</t>
  </si>
  <si>
    <t>明細行文書参照</t>
  </si>
  <si>
    <t>/Invoice/cac:InvoiceLine/cac:DocumentReference[not(cbc:DocumentTypeCode='130')]</t>
  </si>
  <si>
    <t>明細行文書ID</t>
  </si>
  <si>
    <t>/Invoice/cac:InvoiceLine/cac:DocumentReference[not(cbc:DocumentTypeCode='130')]/cbc:ID</t>
  </si>
  <si>
    <t>文書タイプコード</t>
  </si>
  <si>
    <t>/Invoice/cac:InvoiceLine/cac:DocumentReference[not(cbc:DocumentTypeCode='130')]/cbc:DocumentTypeCode</t>
  </si>
  <si>
    <t>請求書明細行オブジェクトID</t>
  </si>
  <si>
    <t>/Invoice/cac:InvoiceLine/cac:DocumentReference[cbc:DocumentTypeCode='130']/cbc:ID</t>
  </si>
  <si>
    <t>請求する数量</t>
  </si>
  <si>
    <t>/Invoice/cac:InvoiceLine/cbc:InvoicedQuantity</t>
  </si>
  <si>
    <t>請求する数量の数量単位コード</t>
  </si>
  <si>
    <t>/Invoice/cac:InvoiceLine/cbc:InvoicedQuantity/@unitCode</t>
  </si>
  <si>
    <t>値引後請求書明細行金額(税抜き)</t>
  </si>
  <si>
    <t>/Invoice/cac:InvoiceLine/cbc:LineExtensionAmount</t>
  </si>
  <si>
    <t>購買発注書参照</t>
  </si>
  <si>
    <t>/Invoice/cac:InvoiceLine/cac:OrderLineReference/cac:OrderReference/cbc:ID</t>
  </si>
  <si>
    <t>購買発注明細行参照</t>
  </si>
  <si>
    <t>/Invoice/cac:InvoiceLine/cac:OrderLineReference/cbc:LineID</t>
  </si>
  <si>
    <t>/Invoice/cac:InvoiceLine/cac:DespatchLineReference/cac:DocumentReference/cbc:ID</t>
  </si>
  <si>
    <t>請求書明細行買い手会計参照</t>
  </si>
  <si>
    <t>/Invoice/cac:InvoiceLine/cbc:AccountingCost</t>
  </si>
  <si>
    <t>請求書明細行の期間</t>
  </si>
  <si>
    <t>/Invoice/cac:InvoiceLine/cac:InvoicePeriod</t>
  </si>
  <si>
    <t>請求書明細行の期間開始日</t>
  </si>
  <si>
    <t>/Invoice/cac:InvoiceLine/cac:InvoicePeriod/cbc:StartDate</t>
  </si>
  <si>
    <t>請求書明細行の期間終了日</t>
  </si>
  <si>
    <t>/Invoice/cac:InvoiceLine/cac:InvoicePeriod/cbc:EndDate</t>
  </si>
  <si>
    <t>請求書明細行の返金</t>
  </si>
  <si>
    <t>/Invoice/cac:InvoiceLine/cac:AllowanceCharge[cbc:ChargeIndicator=false()]</t>
  </si>
  <si>
    <t>請求書明細行の返金金額(税抜き)</t>
  </si>
  <si>
    <t>/Invoice/cac:InvoiceLine/cac:AllowanceCharge[cbc:ChargeIndicator=false()]/cbc:Amount</t>
  </si>
  <si>
    <t>請求書明細行の返金金額の基準金額</t>
  </si>
  <si>
    <t>/Invoice/cac:InvoiceLine/cac:AllowanceCharge[cbc:ChargeIndicator=false()]/cbc:BaseAmount</t>
  </si>
  <si>
    <t>請求書明細行の返金の率</t>
  </si>
  <si>
    <t>/Invoice/cac:InvoiceLine/cac:AllowanceCharge[cbc:ChargeIndicator=false()]/cbc:MultiplierFactorNumeric</t>
  </si>
  <si>
    <t>請求書明細行の返金理由</t>
  </si>
  <si>
    <t>/Invoice/cac:InvoiceLine/cac:AllowanceCharge[cbc:ChargeIndicator=false()]/cbc:AllowanceChargeReason</t>
  </si>
  <si>
    <t>請求書明細行の返金理由コード</t>
  </si>
  <si>
    <t>/Invoice/cac:InvoiceLine/cac:AllowanceCharge[cbc:ChargeIndicator=false()]/cbc:AllowanceChargeReasonCode</t>
  </si>
  <si>
    <t>請求書明細行の追加請求</t>
  </si>
  <si>
    <t>/Invoice/cac:InvoiceLine/cac:AllowanceCharge[cbc:ChargeIndicator=true()]</t>
  </si>
  <si>
    <t>請求書明細行の追加請求金額(税抜き)</t>
  </si>
  <si>
    <t>/Invoice/cac:InvoiceLine/cac:AllowanceCharge[cbc:ChargeIndicator=true()]/cbc:Amount</t>
  </si>
  <si>
    <t>請求書明細行の追加請求の基準金額</t>
  </si>
  <si>
    <t>/Invoice/cac:InvoiceLine/cac:AllowanceCharge[cbc:ChargeIndicator=true()]/cbc:BaseAmount</t>
  </si>
  <si>
    <t>請求書明細行の追加請求の率</t>
  </si>
  <si>
    <t>/Invoice/cac:InvoiceLine/cac:AllowanceCharge[cbc:ChargeIndicator=true()]/cbc:MultiplierFactorNumeric</t>
  </si>
  <si>
    <t>請求書明細行の追加請求理由</t>
  </si>
  <si>
    <t>/Invoice/cac:InvoiceLine/cac:AllowanceCharge[cbc:ChargeIndicator=true()]/cbc:AllowanceChargeReason</t>
  </si>
  <si>
    <t>請求書明細行の追加請求理由コード</t>
  </si>
  <si>
    <t>/Invoice/cac:InvoiceLine/cac:AllowanceCharge[cbc:ChargeIndicator=true()]/cbc:AllowanceChargeReasonCode</t>
  </si>
  <si>
    <t>取引価格詳細</t>
  </si>
  <si>
    <t>/Invoice/cac:InvoiceLine/cac:Price</t>
  </si>
  <si>
    <t>品目単価(値引後)(税抜き)</t>
  </si>
  <si>
    <t>/Invoice/cac:InvoiceLine/cac:Price/cbc:PriceAmount</t>
  </si>
  <si>
    <t>IBT-147</t>
  </si>
  <si>
    <t>品目単価値引(税抜き)</t>
  </si>
  <si>
    <t>/Invoice/cac:InvoiceLine/cac:Price/cac:AllowanceCharge[cbc:ChargeIndicator=false()]/cbc:Amount</t>
  </si>
  <si>
    <t>IBT-148</t>
  </si>
  <si>
    <t>品目単価(値引前)(税抜き)</t>
  </si>
  <si>
    <t>/Invoice/cac:InvoiceLine/cac:Price/cac:AllowanceCharge[cbc:ChargeIndicator=false()]/cbc:BaseAmount</t>
  </si>
  <si>
    <t>品目単価基準数量</t>
  </si>
  <si>
    <t>/Invoice/cac:InvoiceLine/cac:Price/cbc:BaseQuantity</t>
  </si>
  <si>
    <t>品目単価基準数量の数量単位コード</t>
  </si>
  <si>
    <t>/Invoice/cac:InvoiceLine/cac:Price/cbc:BaseQuantity/@unitCode</t>
  </si>
  <si>
    <t>請求書明細行税情報</t>
  </si>
  <si>
    <t>/Invoice/cac:InvoiceLine/cac:Item/cac:ClassifiedTaxCategory</t>
  </si>
  <si>
    <t>請求する品目に対する課税分類コード</t>
  </si>
  <si>
    <t>/Invoice/cac:InvoiceLine/cac:Item/cac:ClassifiedTaxCategory/cbc:ID</t>
  </si>
  <si>
    <t>請求する品目に対する税率</t>
  </si>
  <si>
    <t>/Invoice/cac:InvoiceLine/cac:Item/cac:ClassifiedTaxCategory/cbc:Percent</t>
  </si>
  <si>
    <t>IBT-166</t>
  </si>
  <si>
    <t>請求する品目に対する単位数量当たりの税金額</t>
  </si>
  <si>
    <t>/Invoice/cac:InvoiceLine/cac:Item/cac:ClassifiedTaxCategory/cbc:PerUnitAmount</t>
  </si>
  <si>
    <t>税スキーマ</t>
  </si>
  <si>
    <t>/Invoice/cac:InvoiceLine/cac:Item/cac:ClassifiedTaxCategory/cac:TaxScheme/cbc:ID</t>
  </si>
  <si>
    <t>品目情報</t>
  </si>
  <si>
    <t>/Invoice/cac:InvoiceLine/cac:Item</t>
  </si>
  <si>
    <t>品名</t>
  </si>
  <si>
    <t>/Invoice/cac:InvoiceLine/cac:Item/cbc:Name</t>
  </si>
  <si>
    <t>/Invoice/cac:InvoiceLine/cac:Item/cbc:Description</t>
  </si>
  <si>
    <t>IBT-155</t>
  </si>
  <si>
    <t>売り手による品目ID</t>
  </si>
  <si>
    <t>/Invoice/cac:InvoiceLine/cac:Item/cac:SellersItemIdentification/cbc:ID</t>
  </si>
  <si>
    <t>買い手による品目ID</t>
  </si>
  <si>
    <t>/Invoice/cac:InvoiceLine/cac:Item/cac:BuyersItemIdentification/cbc:ID</t>
  </si>
  <si>
    <t>品目標準ID</t>
  </si>
  <si>
    <t>/Invoice/cac:InvoiceLine/cac:Item/cac:StandardItemIdentification/cbc:ID</t>
  </si>
  <si>
    <t>品目分類ID</t>
  </si>
  <si>
    <t>/Invoice/cac:InvoiceLine/cac:Item/cac:CommodityClassification/cbc:ItemClassificationCode</t>
  </si>
  <si>
    <t>品目の原産国</t>
  </si>
  <si>
    <t>/Invoice/cac:InvoiceLine/cac:Item/cac:OriginCountry/cbc:IdentificationCode</t>
  </si>
  <si>
    <t>品目属性</t>
  </si>
  <si>
    <t>/Invoice/cac:InvoiceLine/cac:Item/cac:AdditionalItemProperty</t>
  </si>
  <si>
    <t>品目属性名</t>
  </si>
  <si>
    <t>/Invoice/cac:InvoiceLine/cac:Item/cac:AdditionalItemProperty/cbc:Name</t>
  </si>
  <si>
    <t>品目属性値</t>
  </si>
  <si>
    <t>/Invoice/cac:InvoiceLine/cac:Item/cac:AdditionalItemProperty/cbc:Value</t>
  </si>
  <si>
    <t>インボイス文書決済／鑑ヘッダ調整グループ
（修正差額調整）</t>
  </si>
  <si>
    <t>鑑ヘッダ調整／調整税グループ</t>
  </si>
  <si>
    <t>鑑ヘッダ修正差額調整税率（修正差額調整）</t>
  </si>
  <si>
    <t>鑑ヘッダ調整税率別消費税額（修正差額調整）</t>
  </si>
  <si>
    <t>SIID185.1</t>
  </si>
  <si>
    <t>鑑ヘッダ調整税タイプコード（修正差額調整）</t>
  </si>
  <si>
    <t>インボイス文書決済／未決済合計金額グループ</t>
  </si>
  <si>
    <t>インボイス文書決済／前払グループ</t>
  </si>
  <si>
    <t>前払金額（税込み）</t>
  </si>
  <si>
    <t>前払／参照文書グループ</t>
  </si>
  <si>
    <t>前払／支払条件グループ</t>
  </si>
  <si>
    <t>明細文書ヘッダ／明細文書グループ</t>
  </si>
  <si>
    <t>明細文書仕入明細回答タイプコード</t>
  </si>
  <si>
    <t>明細文書／注釈グループ</t>
  </si>
  <si>
    <t>明細文書／組込み文書グループ</t>
  </si>
  <si>
    <t>明細文書ヘッダ契約／参照受注書グループ</t>
  </si>
  <si>
    <t>明細文書ヘッダ契約／参照注文書グループ</t>
  </si>
  <si>
    <t>明細文書ヘッダ契約／参照契約書グループ</t>
  </si>
  <si>
    <t>明細文書ヘッダ配送／納入先グループ</t>
  </si>
  <si>
    <t>納入先／住所グループ</t>
  </si>
  <si>
    <t>明細文書ヘッダ出荷／出荷イベントグループ</t>
  </si>
  <si>
    <t>明細文書ヘッダ出荷／受領イベントグループ</t>
  </si>
  <si>
    <t>明細文書ヘッダ配送／参照出荷案内書グループ</t>
  </si>
  <si>
    <t>明細文書ヘッダ配送／参照出荷回答書グループ</t>
  </si>
  <si>
    <t>明細文書ヘッダ／決済グループ</t>
  </si>
  <si>
    <t>明細文書ヘッダ決済／明細文書ヘッダ返金グループ</t>
  </si>
  <si>
    <t>明細文書ヘッダ返金／明細文書ヘッダ返金税グループ</t>
  </si>
  <si>
    <t>明細文書ヘッダ返金税タイプコード</t>
  </si>
  <si>
    <t>SIID246.1</t>
  </si>
  <si>
    <t>SIID254.1</t>
  </si>
  <si>
    <t>明細文書ヘッダ追加請求税タイプコード</t>
  </si>
  <si>
    <t>明細文書ヘッダ文書決済／明細文書ヘッダ追加請求グループ</t>
  </si>
  <si>
    <t>明細文書ヘッダ／明細文書ヘッダ追加請求税グループ</t>
  </si>
  <si>
    <t>明細文書ヘッダ／明細文書ヘッダ税グループ</t>
  </si>
  <si>
    <t>明細文書ヘッダ決済／（日本円換算）税グループ</t>
  </si>
  <si>
    <t>明細文書ヘッダ決済／取引期間グループ</t>
  </si>
  <si>
    <t>明細文書ヘッダ決済／合計金額グループ</t>
  </si>
  <si>
    <t>明細文書ヘッダ消費税合計額</t>
  </si>
  <si>
    <t>明細文書ヘッダ決済／参照インボイス対象物グループ</t>
  </si>
  <si>
    <t>（明細文書ヘッダ参照）インボイス対象物参照タイプコード</t>
  </si>
  <si>
    <t>（明細文書ヘッダ参照）インボイス対象物タイプコード</t>
  </si>
  <si>
    <t>（明細文書ヘッダ参照）インボイス対象物サブタイプコード</t>
  </si>
  <si>
    <t>（明細文書ヘッダ参照）入札書参照タイプコード</t>
  </si>
  <si>
    <t>（明細文書ヘッダ参照）入札書タイプコード</t>
  </si>
  <si>
    <t>（明細文書ヘッダ参照）入札書添付ファイル</t>
  </si>
  <si>
    <t>（明細文書ヘッダ参照）入札書サブタイプコード</t>
  </si>
  <si>
    <t>明細文書ヘッダ決済／参照文書グループ</t>
  </si>
  <si>
    <t>明細文書ヘッダ決済／会計アカウントグループ</t>
  </si>
  <si>
    <t>明細文書ヘッダ／明細行グループ</t>
  </si>
  <si>
    <t>明細行回答理由コード</t>
  </si>
  <si>
    <t>明細行回答理由</t>
  </si>
  <si>
    <t>明細行／取引品目グループ</t>
  </si>
  <si>
    <t>取引品目クラス／品目特性グループ</t>
  </si>
  <si>
    <t>取引品目クラス／品目分類グループ</t>
  </si>
  <si>
    <t>取引品目クラス／原産地グループ</t>
  </si>
  <si>
    <t>明細行／注釈グループ</t>
  </si>
  <si>
    <t>明細行契約／明細行参照受注書グループ</t>
  </si>
  <si>
    <t>明細行契約／明細行参照注文書グループ</t>
  </si>
  <si>
    <t>明細行契約／明細行参照文書グループ</t>
  </si>
  <si>
    <t>明細行契約／契約単価グループ</t>
  </si>
  <si>
    <t>明細行／配送グループ</t>
  </si>
  <si>
    <t>明細行配送／受領イベントグループ</t>
  </si>
  <si>
    <t>UN01005987</t>
  </si>
  <si>
    <t>明細行配送／参照出荷案内書グループ</t>
  </si>
  <si>
    <t>（明細行参照）出荷案内書URI_ID</t>
  </si>
  <si>
    <t>IID331.1</t>
  </si>
  <si>
    <t>（明細行参照）出荷回答書URI_ID</t>
  </si>
  <si>
    <t>IID498.1</t>
  </si>
  <si>
    <t>明細行出荷／出荷イベントグループ</t>
  </si>
  <si>
    <t>明細行／決裁グループ</t>
  </si>
  <si>
    <t>明細行決済／明細行税グループ</t>
  </si>
  <si>
    <t>明細行配送／参照出荷回答書グループ</t>
  </si>
  <si>
    <t>明細行決済／参照インボイス対象物グループ</t>
  </si>
  <si>
    <t>明細行決済／調整（修正差額調整）グループ</t>
  </si>
  <si>
    <t>明細行調整税タイプコード</t>
  </si>
  <si>
    <t>SIID419.1</t>
  </si>
  <si>
    <t>明細行決済／調整（出金）グループ</t>
  </si>
  <si>
    <t>明細行決裁／返金グループ</t>
  </si>
  <si>
    <t>xxx001</t>
  </si>
  <si>
    <t>xxx002</t>
  </si>
  <si>
    <t>xxx003</t>
  </si>
  <si>
    <t>xxx004</t>
  </si>
  <si>
    <t>明細行返金／税グループ</t>
  </si>
  <si>
    <t>明細行返金税タイプコード</t>
  </si>
  <si>
    <t>明細行返金課税分類コード</t>
  </si>
  <si>
    <t>明細行返金税率</t>
  </si>
  <si>
    <t>xxx005</t>
  </si>
  <si>
    <t>xxx006</t>
  </si>
  <si>
    <t>明細行決裁／追加請求グループ</t>
  </si>
  <si>
    <t>明細行追加請求／税グループ</t>
  </si>
  <si>
    <t>xxx007</t>
  </si>
  <si>
    <t>xxx008</t>
  </si>
  <si>
    <t>明細行決済／取引期間グループ</t>
  </si>
  <si>
    <t>IV</t>
  </si>
  <si>
    <t>&gt; Terms payment instructions ID</t>
  </si>
  <si>
    <t>&gt; Payment terms</t>
  </si>
  <si>
    <t>&gt; Terms amount</t>
  </si>
  <si>
    <t>&gt; Terms installment due date</t>
  </si>
  <si>
    <t>&gt; Preceding Invoice reference</t>
  </si>
  <si>
    <t>&gt; Preceding Invoice issue date</t>
  </si>
  <si>
    <t>&gt; Seller name</t>
  </si>
  <si>
    <t>&gt; Seller trading name</t>
  </si>
  <si>
    <t>&gt; Seller identifier</t>
  </si>
  <si>
    <t>&gt; Seller legal registration identifier</t>
  </si>
  <si>
    <t>&gt; Seller TAX identifier</t>
  </si>
  <si>
    <t>&gt; Seller TAX registration identifier</t>
  </si>
  <si>
    <t>&gt; Seller additional legal information</t>
  </si>
  <si>
    <t>&gt; Seller electronic address</t>
  </si>
  <si>
    <t>&gt;&gt;Scheme identifier</t>
  </si>
  <si>
    <t>&gt; SELLER POSTAL ADDRESS</t>
  </si>
  <si>
    <t>&gt;&gt; Seller address line 1</t>
  </si>
  <si>
    <t>&gt;&gt; Seller address line 2</t>
  </si>
  <si>
    <t>&gt;&gt; Seller address line 3</t>
  </si>
  <si>
    <t>&gt;&gt; Seller city</t>
  </si>
  <si>
    <t>&gt;&gt; Seller post code</t>
  </si>
  <si>
    <t>&gt;&gt; Seller country subdivision</t>
  </si>
  <si>
    <t>&gt;&gt; Seller country code</t>
  </si>
  <si>
    <t>&gt; SELLER CONTACT</t>
  </si>
  <si>
    <t>&gt;&gt; Seller contact point</t>
  </si>
  <si>
    <t>&gt;&gt; Seller contact telephone number</t>
  </si>
  <si>
    <t>&gt;&gt; Seller contact email address</t>
  </si>
  <si>
    <t>&gt; Buyer name</t>
  </si>
  <si>
    <t>&gt; Buyer trading name</t>
  </si>
  <si>
    <t>&gt; Buyer identifier</t>
  </si>
  <si>
    <t>&gt; Buyer legal registration identifier</t>
  </si>
  <si>
    <t>&gt; Buyer TAX identifier</t>
  </si>
  <si>
    <t>&gt; Buyer electronic address</t>
  </si>
  <si>
    <t>&gt; BUYER POSTAL ADDRESS</t>
  </si>
  <si>
    <t>&gt;&gt; Buyer address line 1</t>
  </si>
  <si>
    <t>&gt;&gt; Buyer address line 2</t>
  </si>
  <si>
    <t>&gt;&gt; Buyer address line 3</t>
  </si>
  <si>
    <t>&gt;&gt; Buyer city</t>
  </si>
  <si>
    <t>&gt;&gt; Buyer post code</t>
  </si>
  <si>
    <t>&gt;&gt; Buyer country subdivision</t>
  </si>
  <si>
    <t>&gt;&gt; Buyer country code</t>
  </si>
  <si>
    <t>&gt; BUYER CONTACT</t>
  </si>
  <si>
    <t>&gt;&gt; Buyer contact point</t>
  </si>
  <si>
    <t>&gt;&gt; Buyer contact telephone number</t>
  </si>
  <si>
    <t>&gt;&gt; Buyer contact email address</t>
  </si>
  <si>
    <t>&gt; Payee name</t>
  </si>
  <si>
    <t>&gt; Payee identifier</t>
  </si>
  <si>
    <t>&gt; Scheme identifier</t>
  </si>
  <si>
    <t>&gt; Payee legal registration identifier</t>
  </si>
  <si>
    <t>&gt; Seller tax representative name</t>
  </si>
  <si>
    <t>&gt; Seller tax representative TAX identifier</t>
  </si>
  <si>
    <t>&gt; SELLER TAX REPRESENTATIVE POSTAL ADDRESS</t>
  </si>
  <si>
    <t>&gt;&gt; Tax representative address line 1</t>
  </si>
  <si>
    <t>&gt;&gt; Tax representative address line 2</t>
  </si>
  <si>
    <t>&gt;&gt; Tax representative address line 3</t>
  </si>
  <si>
    <t>&gt;&gt; Tax representative city</t>
  </si>
  <si>
    <t>&gt;&gt; Tax representative post code</t>
  </si>
  <si>
    <t>&gt;&gt; Tax representative country subdivision</t>
  </si>
  <si>
    <t>&gt;&gt; Tax representative country code</t>
  </si>
  <si>
    <t>&gt; Deliver to party name</t>
  </si>
  <si>
    <t>&gt; Deliver to location identifier</t>
  </si>
  <si>
    <t>&gt; Actual delivery date</t>
  </si>
  <si>
    <t>&gt; INVOICING PERIOD</t>
  </si>
  <si>
    <t>&gt;&gt; Invoicing period start date</t>
  </si>
  <si>
    <t>&gt;&gt; Invoicing period end date</t>
  </si>
  <si>
    <t>&gt; DELIVER TO ADDRESS</t>
  </si>
  <si>
    <t>&gt;&gt; Deliver to address line 1</t>
  </si>
  <si>
    <t>&gt;&gt; Deliver to address line 2</t>
  </si>
  <si>
    <t>&gt;&gt; Deliver to address line 3</t>
  </si>
  <si>
    <t>&gt;&gt; Deliver to city</t>
  </si>
  <si>
    <t>&gt;&gt; Deliver to post code</t>
  </si>
  <si>
    <t>&gt;&gt; Deliver to country subdivision</t>
  </si>
  <si>
    <t>&gt;&gt; Deliver to country code</t>
  </si>
  <si>
    <t>&gt; Payment Instructions ID</t>
  </si>
  <si>
    <t>&gt; Payment means type code</t>
  </si>
  <si>
    <t>&gt; Payment means text</t>
  </si>
  <si>
    <t>&gt; Remittance information</t>
  </si>
  <si>
    <t>&gt; CREDIT TRANSFER</t>
  </si>
  <si>
    <t>&gt;&gt; Payment account identifier</t>
  </si>
  <si>
    <t>&gt;&gt; Scheme identifier</t>
  </si>
  <si>
    <t>&gt;&gt; Payment account name</t>
  </si>
  <si>
    <t>&gt;&gt; Payment service provider identifier</t>
  </si>
  <si>
    <t>&gt; FINANCIAL INSTITUTION ADDRESS</t>
  </si>
  <si>
    <t>&gt;&gt; Account address line 1</t>
  </si>
  <si>
    <t>&gt;&gt; Account address line 2</t>
  </si>
  <si>
    <t>&gt;&gt; Account city</t>
  </si>
  <si>
    <t>&gt;&gt; Account post code</t>
  </si>
  <si>
    <t>&gt;&gt; Account country subdivision</t>
  </si>
  <si>
    <t>&gt;&gt; Account address line 3</t>
  </si>
  <si>
    <t>&gt;&gt; Account country code</t>
  </si>
  <si>
    <t>&gt; PAYMENT CARD INFORMATION</t>
  </si>
  <si>
    <t>&gt;&gt; Payment card primary account number</t>
  </si>
  <si>
    <t>&gt;&gt; Payment card holder name</t>
  </si>
  <si>
    <t>&gt; DIRECT DEBIT</t>
  </si>
  <si>
    <t>&gt;&gt; Mandate reference identifier</t>
  </si>
  <si>
    <t>&gt;&gt; Debited account identifier</t>
  </si>
  <si>
    <t>&gt; Payment identifier</t>
  </si>
  <si>
    <t>&gt; Paid amount</t>
  </si>
  <si>
    <t>&gt; The date when the paid amount is debited to the invoice.</t>
  </si>
  <si>
    <t>&gt; Payment type</t>
  </si>
  <si>
    <t>&gt; Document level allowance amount</t>
  </si>
  <si>
    <t>&gt; Document level allowance base amount</t>
  </si>
  <si>
    <t>&gt; Document level allowance percentage</t>
  </si>
  <si>
    <t>&gt; Document level allowance reason</t>
  </si>
  <si>
    <t>&gt; Document level allowance reason code</t>
  </si>
  <si>
    <t>&gt; Document level allowance TAX category code</t>
  </si>
  <si>
    <t>&gt; Document level allowance TAX rate</t>
  </si>
  <si>
    <t>&gt; Document level charge amount</t>
  </si>
  <si>
    <t>&gt; Document level charge base amount</t>
  </si>
  <si>
    <t>&gt; Document level charge percentage</t>
  </si>
  <si>
    <t>&gt; Document level charge reason</t>
  </si>
  <si>
    <t>&gt; Document level charge reason code</t>
  </si>
  <si>
    <t>&gt; Document level charge TAX category code</t>
  </si>
  <si>
    <t>&gt; Document level charge TAX rate</t>
  </si>
  <si>
    <t>&gt; Sum of Invoice line net amount</t>
  </si>
  <si>
    <t>&gt; Sum of allowances on document level</t>
  </si>
  <si>
    <t>&gt; Sum of charges on document level</t>
  </si>
  <si>
    <t>&gt; Invoice total amount without TAX</t>
  </si>
  <si>
    <t>&gt; Invoice total TAX amount</t>
  </si>
  <si>
    <t>&gt; Invoice total amount with TAX</t>
  </si>
  <si>
    <t>&gt; Rounding amount</t>
  </si>
  <si>
    <t>&gt; Amount due for payment</t>
  </si>
  <si>
    <t>&gt; Invoice total TAX amount in tax accounting currency</t>
  </si>
  <si>
    <t>&gt; TAX BREAKDOWN IN ACCOUNTING CURRENCY</t>
  </si>
  <si>
    <t>&gt;&gt; TAX category tax amount in accounting currency</t>
  </si>
  <si>
    <t>&gt;&gt; TAX category code for tax category tax amount in accounting currency</t>
  </si>
  <si>
    <t>&gt;&gt; TAX category rate for tax category tax amount in accounting currency</t>
  </si>
  <si>
    <t>&gt; TAX category taxable amount</t>
  </si>
  <si>
    <t>&gt; TAX category tax amount</t>
  </si>
  <si>
    <t>&gt; TAX category code</t>
  </si>
  <si>
    <t>&gt; TAX category rate</t>
  </si>
  <si>
    <t>&gt; Supporting document reference</t>
  </si>
  <si>
    <t>&gt; Supporting document description</t>
  </si>
  <si>
    <t>&gt; Attached document</t>
  </si>
  <si>
    <t>&gt;&gt; Attached document Mime code</t>
  </si>
  <si>
    <t>&gt;&gt; Attached document Filename</t>
  </si>
  <si>
    <t>&gt; External document location</t>
  </si>
  <si>
    <t>&gt; Invoice line identifier</t>
  </si>
  <si>
    <t>&gt; Invoice line note</t>
  </si>
  <si>
    <t>&gt; LINE DOCUMENT REFERENCE</t>
  </si>
  <si>
    <t>&gt;&gt; Invoice line document identifier</t>
  </si>
  <si>
    <t>&gt;&gt; Document type code</t>
  </si>
  <si>
    <t>&gt; Invoice line object identifier</t>
  </si>
  <si>
    <t>&gt; Invoiced quantity</t>
  </si>
  <si>
    <t>&gt; Invoiced quantity unit of measure code</t>
  </si>
  <si>
    <t>&gt; Invoice line net amount</t>
  </si>
  <si>
    <t>&gt; Purchase order reference</t>
  </si>
  <si>
    <t>&gt; Referenced purchase order line reference</t>
  </si>
  <si>
    <t>&gt; Despatch advice reference</t>
  </si>
  <si>
    <t>&gt; Invoice line Buyer accounting reference</t>
  </si>
  <si>
    <t>&gt; INVOICE LINE PERIOD</t>
  </si>
  <si>
    <t>&gt;&gt; Invoice line period start date</t>
  </si>
  <si>
    <t>&gt;&gt; Invoice line period end date</t>
  </si>
  <si>
    <t>&gt; INVOICE LINE ALLOWANCES</t>
  </si>
  <si>
    <t>&gt;&gt; Invoice line allowance amount</t>
  </si>
  <si>
    <t>&gt;&gt; Invoice line allowance base amount</t>
  </si>
  <si>
    <t>&gt;&gt; Invoice line allowance percentage</t>
  </si>
  <si>
    <t>&gt;&gt; Invoice line allowance reason</t>
  </si>
  <si>
    <t>&gt;&gt; Invoice line allowance reason code</t>
  </si>
  <si>
    <t>&gt; INVOICE LINE CHARGES</t>
  </si>
  <si>
    <t>&gt;&gt; Invoice line charge amount</t>
  </si>
  <si>
    <t>&gt;&gt; Invoice line charge base amount</t>
  </si>
  <si>
    <t>&gt;&gt; Invoice line charge percentage</t>
  </si>
  <si>
    <t>&gt;&gt; Invoice line charge reason</t>
  </si>
  <si>
    <t>&gt;&gt; Invoice line charge reason code</t>
  </si>
  <si>
    <t>&gt; PRICE DETAILS</t>
  </si>
  <si>
    <t>&gt;&gt; Item net price</t>
  </si>
  <si>
    <t>&gt;&gt; Item price discount</t>
  </si>
  <si>
    <t>&gt;&gt; Item gross price</t>
  </si>
  <si>
    <t>&gt;&gt; Item price base quantity</t>
  </si>
  <si>
    <t>&gt;&gt; Item price base quantity unit of measure code</t>
  </si>
  <si>
    <t>&gt; LINE TAX INFORMATION</t>
  </si>
  <si>
    <t>&gt;&gt; Invoiced item TAX category code</t>
  </si>
  <si>
    <t>&gt;&gt; Invoiced item TAX rate</t>
  </si>
  <si>
    <t>&gt;&gt; Unit TAX (amount)</t>
  </si>
  <si>
    <t>&gt;&gt; Tax Scheme</t>
  </si>
  <si>
    <t>&gt; ITEM INFORMATION</t>
  </si>
  <si>
    <t>&gt;&gt; Item name</t>
  </si>
  <si>
    <t>&gt;&gt; Item description</t>
  </si>
  <si>
    <t>&gt;&gt; Item Seller's identifier</t>
  </si>
  <si>
    <t>&gt;&gt; Item Buyer's identifier</t>
  </si>
  <si>
    <t>&gt;&gt; Item standard identifier</t>
  </si>
  <si>
    <t>&gt;&gt; Item classification identifier</t>
  </si>
  <si>
    <t>&gt;&gt; Item country of origin</t>
  </si>
  <si>
    <t>&gt;&gt; ITEM ATTRIBUTES</t>
  </si>
  <si>
    <t>&gt;&gt;&gt; Item attribute name</t>
  </si>
  <si>
    <t>&gt;&gt;&gt; Item attribute value</t>
  </si>
  <si>
    <t>明細行返金・追加請求判別子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</si>
</sst>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11]\Te\x\t"/>
  </numFmts>
  <fonts count="21">
    <font>
      <sz val="11"/>
      <color theme="1"/>
      <name val="Aptos Narrow"/>
      <family val="2"/>
      <charset val="128"/>
      <scheme val="minor"/>
    </font>
    <font>
      <sz val="11"/>
      <color theme="1"/>
      <name val="Aptos Narrow"/>
      <family val="2"/>
      <charset val="128"/>
      <scheme val="minor"/>
    </font>
    <font>
      <sz val="11"/>
      <color theme="0"/>
      <name val="Aptos Narrow"/>
      <family val="2"/>
      <charset val="128"/>
      <scheme val="minor"/>
    </font>
    <font>
      <sz val="11"/>
      <color theme="1"/>
      <name val="Aptos Narrow"/>
      <family val="3"/>
      <charset val="128"/>
      <scheme val="minor"/>
    </font>
    <font>
      <sz val="11"/>
      <color theme="1"/>
      <name val="ＭＳ ゴシック"/>
      <family val="3"/>
      <charset val="128"/>
    </font>
    <font>
      <sz val="11"/>
      <color theme="0"/>
      <name val="ＭＳ ゴシック"/>
      <family val="3"/>
      <charset val="128"/>
    </font>
    <font>
      <sz val="11"/>
      <name val="ＭＳ ゴシック"/>
      <family val="3"/>
      <charset val="128"/>
    </font>
    <font>
      <sz val="11"/>
      <color theme="1"/>
      <name val="Arial"/>
      <family val="2"/>
    </font>
    <font>
      <sz val="10"/>
      <name val="Arial"/>
      <family val="2"/>
    </font>
    <font>
      <sz val="11"/>
      <color rgb="FFFF0000"/>
      <name val="ＭＳ ゴシック"/>
      <family val="3"/>
      <charset val="128"/>
    </font>
    <font>
      <strike/>
      <sz val="11"/>
      <color rgb="FFFF0000"/>
      <name val="ＭＳ ゴシック"/>
      <family val="3"/>
      <charset val="128"/>
    </font>
    <font>
      <b/>
      <sz val="11"/>
      <color theme="1"/>
      <name val="ＭＳ ゴシック"/>
      <family val="3"/>
      <charset val="128"/>
    </font>
    <font>
      <b/>
      <sz val="11"/>
      <name val="ＭＳ ゴシック"/>
      <family val="3"/>
      <charset val="128"/>
    </font>
    <font>
      <b/>
      <sz val="11"/>
      <color rgb="FFFF0000"/>
      <name val="ＭＳ ゴシック"/>
      <family val="3"/>
      <charset val="128"/>
    </font>
    <font>
      <sz val="11"/>
      <color rgb="FFFF3399"/>
      <name val="ＭＳ ゴシック"/>
      <family val="3"/>
      <charset val="128"/>
    </font>
    <font>
      <sz val="11"/>
      <color theme="8" tint="0.59999389629810485"/>
      <name val="ＭＳ ゴシック"/>
      <family val="3"/>
      <charset val="128"/>
    </font>
    <font>
      <strike/>
      <sz val="11"/>
      <color theme="1"/>
      <name val="ＭＳ ゴシック"/>
      <family val="3"/>
      <charset val="128"/>
    </font>
    <font>
      <sz val="10"/>
      <color indexed="81"/>
      <name val="MS P ゴシック"/>
      <charset val="1"/>
    </font>
    <font>
      <strike/>
      <sz val="11"/>
      <name val="ＭＳ ゴシック"/>
      <family val="3"/>
      <charset val="128"/>
    </font>
    <font>
      <sz val="8"/>
      <name val="Aptos Narrow"/>
      <family val="2"/>
      <charset val="128"/>
      <scheme val="minor"/>
    </font>
    <font>
      <strike/>
      <sz val="11"/>
      <color theme="0"/>
      <name val="ＭＳ ゴシック"/>
      <family val="3"/>
      <charset val="128"/>
    </font>
  </fonts>
  <fills count="15">
    <fill>
      <patternFill patternType="none"/>
    </fill>
    <fill>
      <patternFill patternType="gray125"/>
    </fill>
    <fill>
      <patternFill patternType="solid">
        <fgColor theme="0"/>
        <bgColor indexed="64"/>
      </patternFill>
    </fill>
    <fill>
      <patternFill patternType="solid">
        <fgColor rgb="FFCCFF99"/>
        <bgColor indexed="64"/>
      </patternFill>
    </fill>
    <fill>
      <patternFill patternType="solid">
        <fgColor rgb="FF66FFFF"/>
        <bgColor indexed="64"/>
      </patternFill>
    </fill>
    <fill>
      <patternFill patternType="solid">
        <fgColor rgb="FFFFCCFF"/>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rgb="FFFFFF00"/>
        <bgColor indexed="64"/>
      </patternFill>
    </fill>
    <fill>
      <patternFill patternType="solid">
        <fgColor rgb="FFBDD7EE"/>
        <bgColor indexed="64"/>
      </patternFill>
    </fill>
    <fill>
      <patternFill patternType="solid">
        <fgColor indexed="65"/>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rgb="FFFF0000"/>
        <bgColor indexed="64"/>
      </patternFill>
    </fill>
    <fill>
      <patternFill patternType="solid">
        <fgColor theme="1" tint="0.49998474074526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right/>
      <top style="thin">
        <color indexed="64"/>
      </top>
      <bottom style="thin">
        <color indexed="64"/>
      </bottom>
      <diagonal/>
    </border>
    <border>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auto="1"/>
      </left>
      <right/>
      <top/>
      <bottom style="thin">
        <color indexed="64"/>
      </bottom>
      <diagonal/>
    </border>
  </borders>
  <cellStyleXfs count="17">
    <xf numFmtId="0" fontId="0" fillId="0" borderId="0"/>
    <xf numFmtId="164" fontId="3" fillId="0" borderId="0">
      <alignment vertical="center"/>
    </xf>
    <xf numFmtId="0" fontId="7" fillId="0" borderId="0"/>
    <xf numFmtId="0" fontId="1" fillId="0" borderId="0">
      <alignment vertical="center"/>
    </xf>
    <xf numFmtId="0" fontId="1" fillId="0" borderId="0">
      <alignment vertical="center"/>
    </xf>
    <xf numFmtId="164" fontId="8" fillId="0" borderId="0"/>
    <xf numFmtId="0" fontId="1" fillId="0" borderId="0">
      <alignment vertical="center"/>
    </xf>
    <xf numFmtId="38" fontId="3" fillId="0" borderId="0" applyFont="0" applyFill="0" applyBorder="0" applyAlignment="0" applyProtection="0">
      <alignment vertical="center"/>
    </xf>
    <xf numFmtId="0" fontId="3" fillId="0" borderId="0">
      <alignment vertical="center"/>
    </xf>
    <xf numFmtId="164"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164" fontId="1" fillId="0" borderId="0">
      <alignment vertical="center"/>
    </xf>
    <xf numFmtId="164" fontId="1" fillId="0" borderId="0">
      <alignment vertical="center"/>
    </xf>
  </cellStyleXfs>
  <cellXfs count="389">
    <xf numFmtId="0" fontId="0" fillId="0" borderId="0" xfId="0"/>
    <xf numFmtId="0" fontId="4" fillId="0" borderId="0" xfId="1" applyNumberFormat="1" applyFont="1" applyAlignment="1">
      <alignment horizontal="center" vertical="center"/>
    </xf>
    <xf numFmtId="0" fontId="4" fillId="2" borderId="0" xfId="1" applyNumberFormat="1" applyFont="1" applyFill="1" applyAlignment="1">
      <alignment horizontal="left" vertical="center"/>
    </xf>
    <xf numFmtId="0" fontId="5" fillId="2" borderId="0" xfId="1" applyNumberFormat="1" applyFont="1" applyFill="1">
      <alignment vertical="center"/>
    </xf>
    <xf numFmtId="0" fontId="4" fillId="0" borderId="0" xfId="1" applyNumberFormat="1" applyFont="1">
      <alignment vertical="center"/>
    </xf>
    <xf numFmtId="0" fontId="6" fillId="0" borderId="0" xfId="1" applyNumberFormat="1" applyFont="1" applyAlignment="1">
      <alignment horizontal="left" vertical="center"/>
    </xf>
    <xf numFmtId="0" fontId="6" fillId="0" borderId="0" xfId="1" applyNumberFormat="1" applyFont="1">
      <alignment vertical="center"/>
    </xf>
    <xf numFmtId="0" fontId="5" fillId="2" borderId="0" xfId="1" applyNumberFormat="1" applyFont="1" applyFill="1" applyAlignment="1">
      <alignment horizontal="center" vertical="center"/>
    </xf>
    <xf numFmtId="0" fontId="6" fillId="0" borderId="0" xfId="1" applyNumberFormat="1" applyFont="1" applyAlignment="1">
      <alignment horizontal="center" vertical="center"/>
    </xf>
    <xf numFmtId="0" fontId="4" fillId="3" borderId="1" xfId="1" applyNumberFormat="1" applyFont="1" applyFill="1" applyBorder="1" applyAlignment="1">
      <alignment horizontal="center" vertical="center"/>
    </xf>
    <xf numFmtId="0" fontId="4" fillId="4" borderId="1" xfId="1" applyNumberFormat="1" applyFont="1" applyFill="1" applyBorder="1" applyAlignment="1">
      <alignment horizontal="center" vertical="center"/>
    </xf>
    <xf numFmtId="0" fontId="4" fillId="2" borderId="0" xfId="1" applyNumberFormat="1" applyFont="1" applyFill="1">
      <alignment vertical="center"/>
    </xf>
    <xf numFmtId="0" fontId="6" fillId="2" borderId="0" xfId="1" applyNumberFormat="1" applyFont="1" applyFill="1">
      <alignment vertical="center"/>
    </xf>
    <xf numFmtId="0" fontId="6" fillId="2" borderId="0" xfId="1" applyNumberFormat="1" applyFont="1" applyFill="1" applyAlignment="1">
      <alignment horizontal="center" vertical="center"/>
    </xf>
    <xf numFmtId="0" fontId="4" fillId="8" borderId="1" xfId="1" applyNumberFormat="1" applyFont="1" applyFill="1" applyBorder="1" applyAlignment="1">
      <alignment horizontal="center" vertical="center"/>
    </xf>
    <xf numFmtId="0" fontId="4" fillId="2" borderId="0" xfId="1" applyNumberFormat="1" applyFont="1" applyFill="1" applyAlignment="1">
      <alignment horizontal="center" vertical="center"/>
    </xf>
    <xf numFmtId="0" fontId="6" fillId="0" borderId="1" xfId="1" applyNumberFormat="1" applyFont="1" applyBorder="1" applyAlignment="1">
      <alignment horizontal="center" vertical="center"/>
    </xf>
    <xf numFmtId="0" fontId="6" fillId="0" borderId="1" xfId="1" applyNumberFormat="1" applyFont="1" applyBorder="1" applyAlignment="1">
      <alignment horizontal="left" vertical="center"/>
    </xf>
    <xf numFmtId="0" fontId="6" fillId="0" borderId="1" xfId="1" applyNumberFormat="1" applyFont="1" applyBorder="1">
      <alignment vertical="center"/>
    </xf>
    <xf numFmtId="0" fontId="4" fillId="0" borderId="2" xfId="1" applyNumberFormat="1" applyFont="1" applyBorder="1" applyAlignment="1">
      <alignment horizontal="center" vertical="center"/>
    </xf>
    <xf numFmtId="0" fontId="6" fillId="0" borderId="3" xfId="1" applyNumberFormat="1" applyFont="1" applyBorder="1" applyAlignment="1">
      <alignment horizontal="center" vertical="center"/>
    </xf>
    <xf numFmtId="0" fontId="6" fillId="0" borderId="2" xfId="1" applyNumberFormat="1" applyFont="1" applyBorder="1" applyAlignment="1">
      <alignment horizontal="center" vertical="center"/>
    </xf>
    <xf numFmtId="0" fontId="4" fillId="0" borderId="1" xfId="1" applyNumberFormat="1" applyFont="1" applyBorder="1">
      <alignment vertical="center"/>
    </xf>
    <xf numFmtId="0" fontId="4" fillId="0" borderId="1" xfId="1" applyNumberFormat="1" applyFont="1" applyBorder="1" applyAlignment="1">
      <alignment horizontal="center" vertical="center"/>
    </xf>
    <xf numFmtId="0" fontId="4" fillId="2" borderId="1" xfId="1" applyNumberFormat="1" applyFont="1" applyFill="1" applyBorder="1" applyAlignment="1">
      <alignment horizontal="left" vertical="center"/>
    </xf>
    <xf numFmtId="0" fontId="6" fillId="6" borderId="1" xfId="1" applyNumberFormat="1" applyFont="1" applyFill="1" applyBorder="1">
      <alignment vertical="center"/>
    </xf>
    <xf numFmtId="0" fontId="6" fillId="6" borderId="1" xfId="1" applyNumberFormat="1" applyFont="1" applyFill="1" applyBorder="1" applyAlignment="1">
      <alignment horizontal="center" vertical="center"/>
    </xf>
    <xf numFmtId="0" fontId="6" fillId="6" borderId="1" xfId="1" applyNumberFormat="1" applyFont="1" applyFill="1" applyBorder="1" applyAlignment="1">
      <alignment horizontal="left" vertical="center"/>
    </xf>
    <xf numFmtId="0" fontId="4" fillId="6" borderId="1" xfId="1" applyNumberFormat="1" applyFont="1" applyFill="1" applyBorder="1">
      <alignment vertical="center"/>
    </xf>
    <xf numFmtId="0" fontId="4" fillId="6" borderId="1" xfId="1" applyNumberFormat="1" applyFont="1" applyFill="1" applyBorder="1" applyAlignment="1">
      <alignment horizontal="center" vertical="center"/>
    </xf>
    <xf numFmtId="0" fontId="6" fillId="2" borderId="1" xfId="1" applyNumberFormat="1" applyFont="1" applyFill="1" applyBorder="1">
      <alignment vertical="center"/>
    </xf>
    <xf numFmtId="0" fontId="6" fillId="2" borderId="1" xfId="1" applyNumberFormat="1" applyFont="1" applyFill="1" applyBorder="1" applyAlignment="1">
      <alignment horizontal="center" vertical="center"/>
    </xf>
    <xf numFmtId="0" fontId="6" fillId="2" borderId="5" xfId="1" applyNumberFormat="1" applyFont="1" applyFill="1" applyBorder="1">
      <alignment vertical="center"/>
    </xf>
    <xf numFmtId="0" fontId="6" fillId="6" borderId="2" xfId="1" applyNumberFormat="1" applyFont="1" applyFill="1" applyBorder="1" applyAlignment="1">
      <alignment horizontal="center" vertical="center"/>
    </xf>
    <xf numFmtId="0" fontId="6" fillId="0" borderId="4" xfId="1" applyNumberFormat="1" applyFont="1" applyBorder="1" applyAlignment="1">
      <alignment horizontal="center" vertical="center"/>
    </xf>
    <xf numFmtId="0" fontId="9" fillId="0" borderId="1" xfId="1" applyNumberFormat="1" applyFont="1" applyBorder="1" applyAlignment="1">
      <alignment horizontal="center" vertical="center"/>
    </xf>
    <xf numFmtId="0" fontId="9" fillId="0" borderId="1" xfId="1" applyNumberFormat="1" applyFont="1" applyBorder="1" applyAlignment="1">
      <alignment horizontal="left" vertical="center"/>
    </xf>
    <xf numFmtId="0" fontId="9" fillId="0" borderId="1" xfId="1" applyNumberFormat="1" applyFont="1" applyBorder="1">
      <alignment vertical="center"/>
    </xf>
    <xf numFmtId="0" fontId="9" fillId="0" borderId="2" xfId="1" applyNumberFormat="1" applyFont="1" applyBorder="1" applyAlignment="1">
      <alignment horizontal="center" vertical="center"/>
    </xf>
    <xf numFmtId="0" fontId="9" fillId="8" borderId="1" xfId="1" applyNumberFormat="1" applyFont="1" applyFill="1" applyBorder="1" applyAlignment="1">
      <alignment horizontal="center" vertical="center"/>
    </xf>
    <xf numFmtId="0" fontId="9" fillId="2" borderId="0" xfId="1" applyNumberFormat="1" applyFont="1" applyFill="1">
      <alignment vertical="center"/>
    </xf>
    <xf numFmtId="0" fontId="9" fillId="0" borderId="0" xfId="1" applyNumberFormat="1" applyFont="1" applyAlignment="1">
      <alignment horizontal="center" vertical="center"/>
    </xf>
    <xf numFmtId="0" fontId="6" fillId="9" borderId="1" xfId="1" applyNumberFormat="1" applyFont="1" applyFill="1" applyBorder="1">
      <alignment vertical="center"/>
    </xf>
    <xf numFmtId="0" fontId="6" fillId="9" borderId="1" xfId="1" applyNumberFormat="1" applyFont="1" applyFill="1" applyBorder="1" applyAlignment="1">
      <alignment horizontal="center" vertical="center"/>
    </xf>
    <xf numFmtId="0" fontId="9" fillId="5" borderId="1" xfId="1" applyNumberFormat="1" applyFont="1" applyFill="1" applyBorder="1">
      <alignment vertical="center"/>
    </xf>
    <xf numFmtId="0" fontId="9" fillId="0" borderId="0" xfId="1" applyNumberFormat="1" applyFont="1">
      <alignment vertical="center"/>
    </xf>
    <xf numFmtId="0" fontId="9" fillId="6" borderId="1" xfId="1" applyNumberFormat="1" applyFont="1" applyFill="1" applyBorder="1" applyAlignment="1">
      <alignment horizontal="center" vertical="center"/>
    </xf>
    <xf numFmtId="0" fontId="9" fillId="5" borderId="1" xfId="1" applyNumberFormat="1" applyFont="1" applyFill="1" applyBorder="1" applyAlignment="1">
      <alignment horizontal="center" vertical="center"/>
    </xf>
    <xf numFmtId="0" fontId="5" fillId="0" borderId="0" xfId="1" applyNumberFormat="1" applyFont="1" applyAlignment="1">
      <alignment horizontal="center" vertical="center"/>
    </xf>
    <xf numFmtId="0" fontId="6" fillId="0" borderId="1" xfId="1" quotePrefix="1" applyNumberFormat="1" applyFont="1" applyBorder="1">
      <alignment vertical="center"/>
    </xf>
    <xf numFmtId="0" fontId="6" fillId="0" borderId="1" xfId="9" applyNumberFormat="1" applyFont="1" applyBorder="1" applyAlignment="1">
      <alignment horizontal="center" vertical="center"/>
    </xf>
    <xf numFmtId="0" fontId="4" fillId="0" borderId="1" xfId="9" applyNumberFormat="1" applyFont="1" applyBorder="1" applyAlignment="1">
      <alignment horizontal="center" vertical="center"/>
    </xf>
    <xf numFmtId="0" fontId="5" fillId="2" borderId="0" xfId="9" applyNumberFormat="1" applyFont="1" applyFill="1">
      <alignment vertical="center"/>
    </xf>
    <xf numFmtId="0" fontId="5" fillId="2" borderId="0" xfId="9" applyNumberFormat="1" applyFont="1" applyFill="1" applyAlignment="1">
      <alignment horizontal="center" vertical="center"/>
    </xf>
    <xf numFmtId="0" fontId="6" fillId="0" borderId="1" xfId="9" applyNumberFormat="1" applyFont="1" applyBorder="1" applyAlignment="1">
      <alignment horizontal="left" vertical="center"/>
    </xf>
    <xf numFmtId="0" fontId="5" fillId="2" borderId="8" xfId="1" applyNumberFormat="1" applyFont="1" applyFill="1" applyBorder="1">
      <alignment vertical="center"/>
    </xf>
    <xf numFmtId="0" fontId="5" fillId="2" borderId="9" xfId="1" applyNumberFormat="1" applyFont="1" applyFill="1" applyBorder="1">
      <alignment vertical="center"/>
    </xf>
    <xf numFmtId="0" fontId="9" fillId="0" borderId="3" xfId="1" applyNumberFormat="1" applyFont="1" applyBorder="1" applyAlignment="1">
      <alignment horizontal="center" vertical="center"/>
    </xf>
    <xf numFmtId="0" fontId="9" fillId="6" borderId="1" xfId="1" applyNumberFormat="1" applyFont="1" applyFill="1" applyBorder="1">
      <alignment vertical="center"/>
    </xf>
    <xf numFmtId="0" fontId="6" fillId="8" borderId="1" xfId="1" applyNumberFormat="1" applyFont="1" applyFill="1" applyBorder="1" applyAlignment="1">
      <alignment horizontal="center" vertical="center"/>
    </xf>
    <xf numFmtId="0" fontId="9" fillId="2" borderId="0" xfId="1" applyNumberFormat="1" applyFont="1" applyFill="1" applyAlignment="1">
      <alignment horizontal="center" vertical="center"/>
    </xf>
    <xf numFmtId="0" fontId="5" fillId="0" borderId="1" xfId="1" applyNumberFormat="1" applyFont="1" applyBorder="1">
      <alignment vertical="center"/>
    </xf>
    <xf numFmtId="0" fontId="5" fillId="2" borderId="10" xfId="1" applyNumberFormat="1" applyFont="1" applyFill="1" applyBorder="1" applyAlignment="1">
      <alignment horizontal="center" vertical="center"/>
    </xf>
    <xf numFmtId="0" fontId="5" fillId="2" borderId="10" xfId="1" applyNumberFormat="1" applyFont="1" applyFill="1" applyBorder="1">
      <alignment vertical="center"/>
    </xf>
    <xf numFmtId="0" fontId="9" fillId="0" borderId="1" xfId="9" applyNumberFormat="1" applyFont="1" applyBorder="1" applyAlignment="1">
      <alignment horizontal="left" vertical="center"/>
    </xf>
    <xf numFmtId="0" fontId="9" fillId="0" borderId="1" xfId="9" applyNumberFormat="1" applyFont="1" applyBorder="1" applyAlignment="1">
      <alignment horizontal="center" vertical="center"/>
    </xf>
    <xf numFmtId="0" fontId="6" fillId="0" borderId="1" xfId="7" applyNumberFormat="1" applyFont="1" applyFill="1" applyBorder="1" applyAlignment="1">
      <alignment vertical="center"/>
    </xf>
    <xf numFmtId="0" fontId="6" fillId="5" borderId="1" xfId="1" applyNumberFormat="1" applyFont="1" applyFill="1" applyBorder="1" applyAlignment="1">
      <alignment horizontal="center" vertical="center"/>
    </xf>
    <xf numFmtId="0" fontId="4" fillId="0" borderId="2" xfId="7" applyNumberFormat="1" applyFont="1" applyFill="1" applyBorder="1" applyAlignment="1">
      <alignment horizontal="center" vertical="center"/>
    </xf>
    <xf numFmtId="0" fontId="6" fillId="0" borderId="3" xfId="7" applyNumberFormat="1" applyFont="1" applyFill="1" applyBorder="1" applyAlignment="1">
      <alignment horizontal="center" vertical="center"/>
    </xf>
    <xf numFmtId="0" fontId="6" fillId="0" borderId="1" xfId="7" applyNumberFormat="1" applyFont="1" applyFill="1" applyBorder="1" applyAlignment="1">
      <alignment horizontal="center" vertical="center"/>
    </xf>
    <xf numFmtId="0" fontId="6" fillId="0" borderId="2" xfId="7" applyNumberFormat="1" applyFont="1" applyFill="1" applyBorder="1" applyAlignment="1">
      <alignment horizontal="center" vertical="center"/>
    </xf>
    <xf numFmtId="0" fontId="4" fillId="0" borderId="2" xfId="7" applyNumberFormat="1" applyFont="1" applyBorder="1" applyAlignment="1">
      <alignment horizontal="center" vertical="center"/>
    </xf>
    <xf numFmtId="0" fontId="6" fillId="0" borderId="3" xfId="7" applyNumberFormat="1" applyFont="1" applyBorder="1" applyAlignment="1">
      <alignment horizontal="center" vertical="center"/>
    </xf>
    <xf numFmtId="0" fontId="6" fillId="0" borderId="1" xfId="7" applyNumberFormat="1" applyFont="1" applyBorder="1" applyAlignment="1">
      <alignment horizontal="center" vertical="center"/>
    </xf>
    <xf numFmtId="0" fontId="6" fillId="0" borderId="2" xfId="7" applyNumberFormat="1" applyFont="1" applyBorder="1" applyAlignment="1">
      <alignment horizontal="center" vertical="center"/>
    </xf>
    <xf numFmtId="0" fontId="4" fillId="6" borderId="2" xfId="1" applyNumberFormat="1" applyFont="1" applyFill="1" applyBorder="1" applyAlignment="1">
      <alignment horizontal="center" vertical="center"/>
    </xf>
    <xf numFmtId="0" fontId="14" fillId="2" borderId="1" xfId="1" applyNumberFormat="1" applyFont="1" applyFill="1" applyBorder="1" applyAlignment="1">
      <alignment horizontal="center" vertical="center"/>
    </xf>
    <xf numFmtId="0" fontId="14" fillId="5" borderId="1" xfId="1" applyNumberFormat="1" applyFont="1" applyFill="1" applyBorder="1">
      <alignment vertical="center"/>
    </xf>
    <xf numFmtId="0" fontId="6" fillId="10" borderId="1" xfId="1" applyNumberFormat="1" applyFont="1" applyFill="1" applyBorder="1" applyAlignment="1">
      <alignment horizontal="center" vertical="center"/>
    </xf>
    <xf numFmtId="0" fontId="4" fillId="0" borderId="11" xfId="1" applyNumberFormat="1" applyFont="1" applyBorder="1" applyAlignment="1">
      <alignment horizontal="center" vertical="center"/>
    </xf>
    <xf numFmtId="0" fontId="4" fillId="0" borderId="11" xfId="1" applyNumberFormat="1" applyFont="1" applyBorder="1">
      <alignment vertical="center"/>
    </xf>
    <xf numFmtId="0" fontId="6" fillId="0" borderId="11" xfId="1" applyNumberFormat="1" applyFont="1" applyBorder="1">
      <alignment vertical="center"/>
    </xf>
    <xf numFmtId="0" fontId="6" fillId="0" borderId="11" xfId="1" applyNumberFormat="1" applyFont="1" applyBorder="1" applyAlignment="1">
      <alignment horizontal="center" vertical="center"/>
    </xf>
    <xf numFmtId="0" fontId="6" fillId="6" borderId="11" xfId="1" applyNumberFormat="1" applyFont="1" applyFill="1" applyBorder="1" applyAlignment="1">
      <alignment horizontal="center" vertical="center"/>
    </xf>
    <xf numFmtId="0" fontId="6" fillId="6" borderId="11" xfId="1" applyNumberFormat="1" applyFont="1" applyFill="1" applyBorder="1">
      <alignment vertical="center"/>
    </xf>
    <xf numFmtId="0" fontId="6" fillId="2" borderId="11" xfId="1" applyNumberFormat="1" applyFont="1" applyFill="1" applyBorder="1">
      <alignment vertical="center"/>
    </xf>
    <xf numFmtId="0" fontId="6" fillId="2" borderId="11" xfId="1" applyNumberFormat="1" applyFont="1" applyFill="1" applyBorder="1" applyAlignment="1">
      <alignment horizontal="center" vertical="center"/>
    </xf>
    <xf numFmtId="0" fontId="4" fillId="11" borderId="1" xfId="1" applyNumberFormat="1" applyFont="1" applyFill="1" applyBorder="1" applyAlignment="1">
      <alignment horizontal="center" vertical="center"/>
    </xf>
    <xf numFmtId="0" fontId="6" fillId="3" borderId="1" xfId="1" applyNumberFormat="1" applyFont="1" applyFill="1" applyBorder="1" applyAlignment="1">
      <alignment horizontal="center" vertical="center"/>
    </xf>
    <xf numFmtId="0" fontId="6" fillId="12" borderId="1" xfId="1" applyNumberFormat="1" applyFont="1" applyFill="1" applyBorder="1" applyAlignment="1">
      <alignment horizontal="center" vertical="center"/>
    </xf>
    <xf numFmtId="0" fontId="4" fillId="12" borderId="1" xfId="1" applyNumberFormat="1" applyFont="1" applyFill="1" applyBorder="1" applyAlignment="1">
      <alignment horizontal="center" vertical="center"/>
    </xf>
    <xf numFmtId="0" fontId="5" fillId="13" borderId="11" xfId="1" applyNumberFormat="1" applyFont="1" applyFill="1" applyBorder="1">
      <alignment vertical="center"/>
    </xf>
    <xf numFmtId="0" fontId="5" fillId="13" borderId="1" xfId="1" applyNumberFormat="1" applyFont="1" applyFill="1" applyBorder="1">
      <alignment vertical="center"/>
    </xf>
    <xf numFmtId="0" fontId="6" fillId="13" borderId="1" xfId="1" applyNumberFormat="1" applyFont="1" applyFill="1" applyBorder="1">
      <alignment vertical="center"/>
    </xf>
    <xf numFmtId="0" fontId="5" fillId="13" borderId="1" xfId="1" applyNumberFormat="1" applyFont="1" applyFill="1" applyBorder="1" applyAlignment="1">
      <alignment horizontal="center" vertical="center"/>
    </xf>
    <xf numFmtId="0" fontId="2" fillId="14" borderId="0" xfId="0" applyFont="1" applyFill="1" applyAlignment="1">
      <alignment horizontal="center" vertical="center"/>
    </xf>
    <xf numFmtId="0" fontId="2" fillId="14" borderId="0" xfId="0" applyFont="1" applyFill="1" applyAlignment="1">
      <alignment horizontal="center" vertical="center" textRotation="90"/>
    </xf>
    <xf numFmtId="0" fontId="0" fillId="0" borderId="0" xfId="0" applyAlignment="1">
      <alignment vertical="center"/>
    </xf>
    <xf numFmtId="0" fontId="0" fillId="0" borderId="0" xfId="0" applyAlignment="1">
      <alignment horizontal="center" vertical="center"/>
    </xf>
    <xf numFmtId="0" fontId="4" fillId="5" borderId="1" xfId="1" applyNumberFormat="1" applyFont="1" applyFill="1" applyBorder="1">
      <alignment vertical="center"/>
    </xf>
    <xf numFmtId="0" fontId="5" fillId="13" borderId="1" xfId="1" applyNumberFormat="1" applyFont="1" applyFill="1" applyBorder="1" applyAlignment="1">
      <alignment horizontal="left" vertical="center"/>
    </xf>
    <xf numFmtId="0" fontId="4" fillId="0" borderId="1" xfId="1" applyNumberFormat="1" applyFont="1" applyFill="1" applyBorder="1">
      <alignment vertical="center"/>
    </xf>
    <xf numFmtId="0" fontId="6" fillId="0" borderId="1" xfId="1" applyNumberFormat="1" applyFont="1" applyFill="1" applyBorder="1" applyAlignment="1">
      <alignment horizontal="center" vertical="center"/>
    </xf>
    <xf numFmtId="0" fontId="6" fillId="0" borderId="1" xfId="1" applyNumberFormat="1" applyFont="1" applyFill="1" applyBorder="1" applyAlignment="1">
      <alignment horizontal="left" vertical="center"/>
    </xf>
    <xf numFmtId="0" fontId="6" fillId="0" borderId="1" xfId="1" applyNumberFormat="1" applyFont="1" applyFill="1" applyBorder="1">
      <alignment vertical="center"/>
    </xf>
    <xf numFmtId="0" fontId="6" fillId="0" borderId="2" xfId="1" applyNumberFormat="1" applyFont="1" applyFill="1" applyBorder="1" applyAlignment="1">
      <alignment horizontal="center" vertical="center"/>
    </xf>
    <xf numFmtId="0" fontId="5" fillId="0" borderId="0" xfId="1" applyNumberFormat="1" applyFont="1" applyFill="1">
      <alignment vertical="center"/>
    </xf>
    <xf numFmtId="0" fontId="16" fillId="0" borderId="1" xfId="1" applyNumberFormat="1" applyFont="1" applyBorder="1">
      <alignment vertical="center"/>
    </xf>
    <xf numFmtId="0" fontId="18" fillId="6" borderId="1" xfId="1" applyNumberFormat="1" applyFont="1" applyFill="1" applyBorder="1" applyAlignment="1">
      <alignment horizontal="center" vertical="center"/>
    </xf>
    <xf numFmtId="0" fontId="18" fillId="6" borderId="1" xfId="1" applyNumberFormat="1" applyFont="1" applyFill="1" applyBorder="1">
      <alignment vertical="center"/>
    </xf>
    <xf numFmtId="0" fontId="20" fillId="2" borderId="0" xfId="1" applyNumberFormat="1" applyFont="1" applyFill="1" applyAlignment="1">
      <alignment horizontal="center" vertical="center"/>
    </xf>
    <xf numFmtId="0" fontId="20" fillId="2" borderId="0" xfId="1" applyNumberFormat="1" applyFont="1" applyFill="1">
      <alignment vertical="center"/>
    </xf>
    <xf numFmtId="0" fontId="18" fillId="0" borderId="1" xfId="1" applyNumberFormat="1" applyFont="1" applyBorder="1" applyAlignment="1">
      <alignment horizontal="center" vertical="center"/>
    </xf>
    <xf numFmtId="0" fontId="18" fillId="0" borderId="1" xfId="1" applyNumberFormat="1" applyFont="1" applyBorder="1">
      <alignment vertical="center"/>
    </xf>
    <xf numFmtId="0" fontId="20" fillId="2" borderId="10" xfId="1" applyNumberFormat="1" applyFont="1" applyFill="1" applyBorder="1" applyAlignment="1">
      <alignment horizontal="center" vertical="center"/>
    </xf>
    <xf numFmtId="0" fontId="10" fillId="0" borderId="1" xfId="1" applyNumberFormat="1" applyFont="1" applyBorder="1">
      <alignment vertical="center"/>
    </xf>
    <xf numFmtId="0" fontId="10" fillId="0" borderId="1" xfId="9" applyNumberFormat="1" applyFont="1" applyBorder="1" applyAlignment="1">
      <alignment horizontal="center" vertical="center"/>
    </xf>
    <xf numFmtId="0" fontId="10" fillId="0" borderId="1" xfId="1" applyNumberFormat="1" applyFont="1" applyBorder="1" applyAlignment="1">
      <alignment horizontal="center" vertical="center"/>
    </xf>
    <xf numFmtId="0" fontId="10" fillId="0" borderId="1" xfId="9" applyNumberFormat="1" applyFont="1" applyBorder="1" applyAlignment="1">
      <alignment horizontal="left" vertical="center"/>
    </xf>
    <xf numFmtId="0" fontId="20" fillId="13" borderId="1" xfId="1" applyNumberFormat="1" applyFont="1" applyFill="1" applyBorder="1">
      <alignment vertical="center"/>
    </xf>
    <xf numFmtId="0" fontId="16" fillId="0" borderId="1" xfId="1" applyNumberFormat="1" applyFont="1" applyBorder="1" applyAlignment="1">
      <alignment horizontal="center" vertical="center"/>
    </xf>
    <xf numFmtId="0" fontId="5" fillId="13" borderId="6" xfId="1" applyNumberFormat="1" applyFont="1" applyFill="1" applyBorder="1">
      <alignment vertical="center"/>
    </xf>
    <xf numFmtId="0" fontId="18" fillId="13" borderId="1" xfId="1" applyNumberFormat="1" applyFont="1" applyFill="1" applyBorder="1">
      <alignment vertical="center"/>
    </xf>
    <xf numFmtId="0" fontId="10" fillId="8" borderId="1" xfId="1" applyNumberFormat="1" applyFont="1" applyFill="1" applyBorder="1" applyAlignment="1">
      <alignment horizontal="center" vertical="center"/>
    </xf>
    <xf numFmtId="0" fontId="10" fillId="0" borderId="2" xfId="1" applyNumberFormat="1" applyFont="1" applyBorder="1" applyAlignment="1">
      <alignment horizontal="center" vertical="center"/>
    </xf>
    <xf numFmtId="0" fontId="6" fillId="0" borderId="0" xfId="1" applyNumberFormat="1" applyFont="1" applyFill="1" applyAlignment="1">
      <alignment horizontal="left" vertical="center"/>
    </xf>
    <xf numFmtId="0" fontId="4" fillId="0" borderId="0" xfId="1" applyNumberFormat="1" applyFont="1" applyFill="1" applyAlignment="1">
      <alignment horizontal="left" vertical="center"/>
    </xf>
    <xf numFmtId="0" fontId="4" fillId="0" borderId="1" xfId="1" applyNumberFormat="1" applyFont="1" applyFill="1" applyBorder="1" applyAlignment="1">
      <alignment horizontal="left" vertical="center"/>
    </xf>
    <xf numFmtId="0" fontId="6" fillId="0" borderId="2" xfId="1" applyNumberFormat="1" applyFont="1" applyFill="1" applyBorder="1" applyAlignment="1">
      <alignment horizontal="left" vertical="center"/>
    </xf>
    <xf numFmtId="0" fontId="9" fillId="0" borderId="1" xfId="1" applyNumberFormat="1" applyFont="1" applyFill="1" applyBorder="1" applyAlignment="1">
      <alignment horizontal="left" vertical="center"/>
    </xf>
    <xf numFmtId="0" fontId="10" fillId="0" borderId="1" xfId="1" applyNumberFormat="1" applyFont="1" applyFill="1" applyBorder="1" applyAlignment="1">
      <alignment horizontal="left" vertical="center"/>
    </xf>
    <xf numFmtId="0" fontId="18" fillId="0" borderId="1" xfId="1" applyNumberFormat="1" applyFont="1" applyFill="1" applyBorder="1" applyAlignment="1">
      <alignment horizontal="left" vertical="center"/>
    </xf>
    <xf numFmtId="0" fontId="6" fillId="0" borderId="1" xfId="9" applyNumberFormat="1" applyFont="1" applyFill="1" applyBorder="1" applyAlignment="1">
      <alignment horizontal="left" vertical="center"/>
    </xf>
    <xf numFmtId="0" fontId="6" fillId="0" borderId="0" xfId="1" applyNumberFormat="1" applyFont="1" applyFill="1">
      <alignment vertical="center"/>
    </xf>
    <xf numFmtId="0" fontId="6" fillId="0" borderId="0" xfId="1" applyNumberFormat="1" applyFont="1" applyFill="1" applyAlignment="1">
      <alignment horizontal="center" vertical="center"/>
    </xf>
    <xf numFmtId="0" fontId="5" fillId="0" borderId="0" xfId="1" applyNumberFormat="1" applyFont="1" applyFill="1" applyAlignment="1">
      <alignment horizontal="center" vertical="center"/>
    </xf>
    <xf numFmtId="0" fontId="4" fillId="0" borderId="0" xfId="1" applyNumberFormat="1" applyFont="1" applyFill="1">
      <alignment vertical="center"/>
    </xf>
    <xf numFmtId="0" fontId="4" fillId="0" borderId="1" xfId="1" applyNumberFormat="1" applyFont="1" applyFill="1" applyBorder="1" applyAlignment="1">
      <alignment horizontal="center" vertical="center"/>
    </xf>
    <xf numFmtId="0" fontId="6" fillId="0" borderId="11" xfId="1" applyNumberFormat="1" applyFont="1" applyFill="1" applyBorder="1">
      <alignment vertical="center"/>
    </xf>
    <xf numFmtId="0" fontId="6" fillId="0" borderId="11" xfId="1" applyNumberFormat="1" applyFont="1" applyFill="1" applyBorder="1" applyAlignment="1">
      <alignment horizontal="left" vertical="center"/>
    </xf>
    <xf numFmtId="0" fontId="6" fillId="0" borderId="11" xfId="1" applyNumberFormat="1" applyFont="1" applyFill="1" applyBorder="1" applyAlignment="1">
      <alignment horizontal="center" vertical="center"/>
    </xf>
    <xf numFmtId="0" fontId="6" fillId="0" borderId="12" xfId="1" applyNumberFormat="1" applyFont="1" applyFill="1" applyBorder="1" applyAlignment="1">
      <alignment horizontal="center" vertical="center"/>
    </xf>
    <xf numFmtId="0" fontId="4" fillId="0" borderId="11" xfId="1" applyNumberFormat="1" applyFont="1" applyFill="1" applyBorder="1">
      <alignment vertical="center"/>
    </xf>
    <xf numFmtId="0" fontId="4" fillId="0" borderId="11" xfId="1" applyNumberFormat="1" applyFont="1" applyFill="1" applyBorder="1" applyAlignment="1">
      <alignment horizontal="left" vertical="center"/>
    </xf>
    <xf numFmtId="0" fontId="4" fillId="0" borderId="11" xfId="1" applyNumberFormat="1" applyFont="1" applyFill="1" applyBorder="1" applyAlignment="1">
      <alignment horizontal="center" vertical="center"/>
    </xf>
    <xf numFmtId="0" fontId="4" fillId="0" borderId="2" xfId="1" applyNumberFormat="1" applyFont="1" applyFill="1" applyBorder="1" applyAlignment="1">
      <alignment horizontal="center" vertical="center"/>
    </xf>
    <xf numFmtId="0" fontId="4" fillId="0" borderId="12" xfId="1" applyNumberFormat="1" applyFont="1" applyFill="1" applyBorder="1" applyAlignment="1">
      <alignment horizontal="center" vertical="center"/>
    </xf>
    <xf numFmtId="0" fontId="9" fillId="0" borderId="1" xfId="1" applyNumberFormat="1" applyFont="1" applyFill="1" applyBorder="1">
      <alignment vertical="center"/>
    </xf>
    <xf numFmtId="0" fontId="9" fillId="0" borderId="2" xfId="1" applyNumberFormat="1" applyFont="1" applyFill="1" applyBorder="1" applyAlignment="1">
      <alignment horizontal="center" vertical="center"/>
    </xf>
    <xf numFmtId="0" fontId="6" fillId="0" borderId="1" xfId="1" quotePrefix="1" applyNumberFormat="1" applyFont="1" applyFill="1" applyBorder="1" applyAlignment="1">
      <alignment horizontal="left" vertical="center"/>
    </xf>
    <xf numFmtId="0" fontId="6" fillId="0" borderId="2" xfId="1" applyNumberFormat="1" applyFont="1" applyFill="1" applyBorder="1">
      <alignment vertical="center"/>
    </xf>
    <xf numFmtId="0" fontId="6" fillId="0" borderId="1" xfId="1" quotePrefix="1" applyNumberFormat="1" applyFont="1" applyFill="1" applyBorder="1">
      <alignment vertical="center"/>
    </xf>
    <xf numFmtId="0" fontId="9" fillId="0" borderId="1" xfId="1" applyNumberFormat="1" applyFont="1" applyFill="1" applyBorder="1" applyAlignment="1">
      <alignment horizontal="center" vertical="center"/>
    </xf>
    <xf numFmtId="0" fontId="6" fillId="0" borderId="1" xfId="9" applyNumberFormat="1" applyFont="1" applyFill="1" applyBorder="1">
      <alignment vertical="center"/>
    </xf>
    <xf numFmtId="0" fontId="6" fillId="0" borderId="2" xfId="9" applyNumberFormat="1" applyFont="1" applyFill="1" applyBorder="1" applyAlignment="1">
      <alignment horizontal="center" vertical="center"/>
    </xf>
    <xf numFmtId="0" fontId="10" fillId="0" borderId="1" xfId="9" applyNumberFormat="1" applyFont="1" applyFill="1" applyBorder="1" applyAlignment="1">
      <alignment horizontal="left" vertical="center"/>
    </xf>
    <xf numFmtId="0" fontId="10" fillId="0" borderId="2" xfId="9" applyNumberFormat="1" applyFont="1" applyFill="1" applyBorder="1" applyAlignment="1">
      <alignment horizontal="center" vertical="center"/>
    </xf>
    <xf numFmtId="0" fontId="6" fillId="0" borderId="1" xfId="7" quotePrefix="1" applyNumberFormat="1" applyFont="1" applyFill="1" applyBorder="1" applyAlignment="1">
      <alignment vertical="center"/>
    </xf>
    <xf numFmtId="0" fontId="9" fillId="0" borderId="1" xfId="9" applyNumberFormat="1" applyFont="1" applyFill="1" applyBorder="1" applyAlignment="1">
      <alignment horizontal="left" vertical="center"/>
    </xf>
    <xf numFmtId="0" fontId="9" fillId="0" borderId="2" xfId="9" applyNumberFormat="1" applyFont="1" applyFill="1" applyBorder="1" applyAlignment="1">
      <alignment horizontal="center" vertical="center"/>
    </xf>
    <xf numFmtId="0" fontId="18" fillId="0" borderId="1" xfId="1" applyNumberFormat="1" applyFont="1" applyFill="1" applyBorder="1">
      <alignment vertical="center"/>
    </xf>
    <xf numFmtId="0" fontId="18" fillId="0" borderId="2" xfId="1" applyNumberFormat="1" applyFont="1" applyFill="1" applyBorder="1" applyAlignment="1">
      <alignment horizontal="center" vertical="center"/>
    </xf>
    <xf numFmtId="0" fontId="9" fillId="0" borderId="1" xfId="7" applyNumberFormat="1" applyFont="1" applyFill="1" applyBorder="1" applyAlignment="1">
      <alignment vertical="center"/>
    </xf>
    <xf numFmtId="0" fontId="6" fillId="0" borderId="0" xfId="7" applyNumberFormat="1" applyFont="1" applyFill="1" applyBorder="1" applyAlignment="1">
      <alignment horizontal="left" vertical="center"/>
    </xf>
    <xf numFmtId="0" fontId="9" fillId="0" borderId="0" xfId="1" applyNumberFormat="1" applyFont="1" applyFill="1" applyAlignment="1">
      <alignment horizontal="center" vertical="center"/>
    </xf>
    <xf numFmtId="0" fontId="6" fillId="0" borderId="1" xfId="9" applyNumberFormat="1" applyFont="1" applyFill="1" applyBorder="1" applyAlignment="1">
      <alignment horizontal="center" vertical="center"/>
    </xf>
    <xf numFmtId="0" fontId="10" fillId="0" borderId="1" xfId="1" applyNumberFormat="1" applyFont="1" applyFill="1" applyBorder="1">
      <alignment vertical="center"/>
    </xf>
    <xf numFmtId="0" fontId="10" fillId="0" borderId="2" xfId="1" applyNumberFormat="1" applyFont="1" applyFill="1" applyBorder="1" applyAlignment="1">
      <alignment horizontal="center" vertical="center"/>
    </xf>
    <xf numFmtId="0" fontId="4" fillId="0" borderId="0" xfId="1" applyNumberFormat="1" applyFont="1" applyFill="1" applyAlignment="1">
      <alignment horizontal="center" vertical="center"/>
    </xf>
    <xf numFmtId="0" fontId="6" fillId="0" borderId="4" xfId="1" applyNumberFormat="1" applyFont="1" applyFill="1" applyBorder="1">
      <alignment vertical="center"/>
    </xf>
    <xf numFmtId="0" fontId="6" fillId="0" borderId="3" xfId="1" applyNumberFormat="1" applyFont="1" applyFill="1" applyBorder="1" applyAlignment="1">
      <alignment horizontal="center" vertical="center"/>
    </xf>
    <xf numFmtId="0" fontId="5" fillId="0" borderId="1" xfId="1" applyNumberFormat="1" applyFont="1" applyFill="1" applyBorder="1">
      <alignment vertical="center"/>
    </xf>
    <xf numFmtId="0" fontId="5" fillId="0" borderId="9" xfId="1" applyNumberFormat="1" applyFont="1" applyFill="1" applyBorder="1">
      <alignment vertical="center"/>
    </xf>
    <xf numFmtId="0" fontId="5" fillId="0" borderId="8" xfId="1" applyNumberFormat="1" applyFont="1" applyFill="1" applyBorder="1">
      <alignment vertical="center"/>
    </xf>
    <xf numFmtId="0" fontId="4" fillId="0" borderId="7" xfId="1" applyNumberFormat="1" applyFont="1" applyBorder="1" applyAlignment="1">
      <alignment horizontal="center" vertical="center"/>
    </xf>
    <xf numFmtId="0" fontId="4" fillId="3" borderId="2" xfId="2" applyNumberFormat="1" applyFont="1" applyFill="1" applyBorder="1" applyAlignment="1">
      <alignment horizontal="center" vertical="center"/>
    </xf>
    <xf numFmtId="0" fontId="4" fillId="11" borderId="1" xfId="2" applyNumberFormat="1" applyFont="1" applyFill="1" applyBorder="1" applyAlignment="1">
      <alignment horizontal="center" vertical="center"/>
    </xf>
    <xf numFmtId="0" fontId="6" fillId="2" borderId="2" xfId="2" applyNumberFormat="1" applyFont="1" applyFill="1" applyBorder="1" applyAlignment="1">
      <alignment horizontal="center" vertical="center"/>
    </xf>
    <xf numFmtId="0" fontId="6" fillId="2" borderId="1" xfId="2" applyNumberFormat="1" applyFont="1" applyFill="1" applyBorder="1" applyAlignment="1">
      <alignment horizontal="center" vertical="center"/>
    </xf>
    <xf numFmtId="0" fontId="4" fillId="2" borderId="2" xfId="2" applyNumberFormat="1" applyFont="1" applyFill="1" applyBorder="1" applyAlignment="1">
      <alignment horizontal="center" vertical="center"/>
    </xf>
    <xf numFmtId="0" fontId="6" fillId="0" borderId="1" xfId="2" applyNumberFormat="1" applyFont="1" applyBorder="1" applyAlignment="1">
      <alignment horizontal="center" vertical="center"/>
    </xf>
    <xf numFmtId="0" fontId="6" fillId="2" borderId="2" xfId="2" applyNumberFormat="1" applyFont="1" applyFill="1" applyBorder="1" applyAlignment="1">
      <alignment horizontal="left" vertical="center"/>
    </xf>
    <xf numFmtId="0" fontId="6" fillId="6" borderId="12" xfId="2" applyNumberFormat="1" applyFont="1" applyFill="1" applyBorder="1" applyAlignment="1">
      <alignment horizontal="center" vertical="center"/>
    </xf>
    <xf numFmtId="0" fontId="6" fillId="6" borderId="11" xfId="2" applyNumberFormat="1" applyFont="1" applyFill="1" applyBorder="1" applyAlignment="1">
      <alignment horizontal="center" vertical="center"/>
    </xf>
    <xf numFmtId="0" fontId="4" fillId="6" borderId="12" xfId="2" applyNumberFormat="1" applyFont="1" applyFill="1" applyBorder="1" applyAlignment="1">
      <alignment horizontal="center" vertical="center"/>
    </xf>
    <xf numFmtId="0" fontId="4" fillId="0" borderId="2" xfId="2" applyNumberFormat="1" applyFont="1" applyBorder="1" applyAlignment="1">
      <alignment horizontal="center" vertical="center"/>
    </xf>
    <xf numFmtId="0" fontId="4" fillId="0" borderId="1" xfId="2" applyNumberFormat="1" applyFont="1" applyBorder="1" applyAlignment="1">
      <alignment horizontal="center" vertical="center"/>
    </xf>
    <xf numFmtId="0" fontId="6" fillId="0" borderId="2" xfId="2" applyNumberFormat="1" applyFont="1" applyBorder="1" applyAlignment="1">
      <alignment horizontal="center" vertical="center"/>
    </xf>
    <xf numFmtId="0" fontId="4" fillId="6" borderId="2" xfId="2" applyNumberFormat="1" applyFont="1" applyFill="1" applyBorder="1" applyAlignment="1">
      <alignment horizontal="center" vertical="center"/>
    </xf>
    <xf numFmtId="0" fontId="4" fillId="6" borderId="1" xfId="2" applyNumberFormat="1" applyFont="1" applyFill="1" applyBorder="1" applyAlignment="1">
      <alignment horizontal="center" vertical="center"/>
    </xf>
    <xf numFmtId="0" fontId="4" fillId="0" borderId="1" xfId="2" applyNumberFormat="1" applyFont="1" applyFill="1" applyBorder="1" applyAlignment="1">
      <alignment horizontal="center" vertical="center"/>
    </xf>
    <xf numFmtId="0" fontId="6" fillId="0" borderId="2" xfId="2" applyNumberFormat="1" applyFont="1" applyFill="1" applyBorder="1" applyAlignment="1">
      <alignment horizontal="left" vertical="center"/>
    </xf>
    <xf numFmtId="0" fontId="4" fillId="0" borderId="2" xfId="2" applyNumberFormat="1" applyFont="1" applyFill="1" applyBorder="1" applyAlignment="1">
      <alignment horizontal="center" vertical="center"/>
    </xf>
    <xf numFmtId="0" fontId="4" fillId="0" borderId="6" xfId="2" applyNumberFormat="1" applyFont="1" applyBorder="1" applyAlignment="1">
      <alignment horizontal="center" vertical="center"/>
    </xf>
    <xf numFmtId="0" fontId="4" fillId="5" borderId="2" xfId="2" applyNumberFormat="1" applyFont="1" applyFill="1" applyBorder="1" applyAlignment="1">
      <alignment horizontal="center" vertical="center"/>
    </xf>
    <xf numFmtId="0" fontId="9" fillId="0" borderId="1" xfId="2" applyNumberFormat="1" applyFont="1" applyBorder="1" applyAlignment="1">
      <alignment horizontal="center" vertical="center"/>
    </xf>
    <xf numFmtId="0" fontId="9" fillId="0" borderId="2" xfId="2" applyNumberFormat="1" applyFont="1" applyBorder="1" applyAlignment="1">
      <alignment horizontal="center" vertical="center"/>
    </xf>
    <xf numFmtId="0" fontId="6" fillId="0" borderId="1" xfId="7" applyNumberFormat="1" applyFont="1" applyFill="1" applyBorder="1" applyAlignment="1">
      <alignment horizontal="left" vertical="center"/>
    </xf>
    <xf numFmtId="0" fontId="6" fillId="6" borderId="1" xfId="2" applyNumberFormat="1" applyFont="1" applyFill="1" applyBorder="1" applyAlignment="1">
      <alignment horizontal="center" vertical="center"/>
    </xf>
    <xf numFmtId="0" fontId="6" fillId="6" borderId="1" xfId="7" applyNumberFormat="1" applyFont="1" applyFill="1" applyBorder="1" applyAlignment="1">
      <alignment horizontal="center" vertical="center"/>
    </xf>
    <xf numFmtId="0" fontId="6" fillId="6" borderId="2" xfId="2" applyNumberFormat="1" applyFont="1" applyFill="1" applyBorder="1" applyAlignment="1">
      <alignment horizontal="center" vertical="center"/>
    </xf>
    <xf numFmtId="0" fontId="5" fillId="2" borderId="0" xfId="3" applyNumberFormat="1" applyFont="1" applyFill="1" applyAlignment="1">
      <alignment horizontal="center" vertical="center"/>
    </xf>
    <xf numFmtId="0" fontId="5" fillId="2" borderId="0" xfId="3" applyNumberFormat="1" applyFont="1" applyFill="1">
      <alignment vertical="center"/>
    </xf>
    <xf numFmtId="0" fontId="4" fillId="0" borderId="1" xfId="3" applyNumberFormat="1" applyFont="1" applyBorder="1" applyAlignment="1">
      <alignment horizontal="center" vertical="center"/>
    </xf>
    <xf numFmtId="0" fontId="4" fillId="0" borderId="0" xfId="3" applyNumberFormat="1" applyFont="1">
      <alignment vertical="center"/>
    </xf>
    <xf numFmtId="0" fontId="5" fillId="2" borderId="0" xfId="2" applyNumberFormat="1" applyFont="1" applyFill="1" applyAlignment="1">
      <alignment horizontal="center" vertical="center"/>
    </xf>
    <xf numFmtId="0" fontId="4" fillId="0" borderId="0" xfId="4" applyNumberFormat="1" applyFont="1">
      <alignment vertical="center"/>
    </xf>
    <xf numFmtId="0" fontId="6" fillId="7" borderId="1" xfId="1" applyNumberFormat="1" applyFont="1" applyFill="1" applyBorder="1" applyAlignment="1">
      <alignment horizontal="center" vertical="center"/>
    </xf>
    <xf numFmtId="0" fontId="12" fillId="0" borderId="2" xfId="8" applyNumberFormat="1" applyFont="1" applyBorder="1" applyAlignment="1">
      <alignment horizontal="center" vertical="center"/>
    </xf>
    <xf numFmtId="0" fontId="12" fillId="0" borderId="1" xfId="8" applyNumberFormat="1" applyFont="1" applyBorder="1" applyAlignment="1">
      <alignment horizontal="center" vertical="center"/>
    </xf>
    <xf numFmtId="0" fontId="11" fillId="0" borderId="2" xfId="8" applyNumberFormat="1" applyFont="1" applyBorder="1" applyAlignment="1">
      <alignment horizontal="center" vertical="center"/>
    </xf>
    <xf numFmtId="0" fontId="6" fillId="0" borderId="1" xfId="8" applyNumberFormat="1" applyFont="1" applyBorder="1" applyAlignment="1">
      <alignment horizontal="center" vertical="center"/>
    </xf>
    <xf numFmtId="0" fontId="6" fillId="0" borderId="1" xfId="8" applyNumberFormat="1" applyFont="1" applyBorder="1">
      <alignment vertical="center"/>
    </xf>
    <xf numFmtId="0" fontId="6" fillId="0" borderId="2" xfId="13" applyNumberFormat="1" applyFont="1" applyBorder="1" applyAlignment="1">
      <alignment horizontal="center" vertical="center"/>
    </xf>
    <xf numFmtId="0" fontId="6" fillId="0" borderId="1" xfId="13" applyNumberFormat="1" applyFont="1" applyBorder="1" applyAlignment="1">
      <alignment horizontal="center" vertical="center"/>
    </xf>
    <xf numFmtId="0" fontId="4" fillId="0" borderId="2" xfId="13" applyNumberFormat="1" applyFont="1" applyBorder="1" applyAlignment="1">
      <alignment horizontal="center" vertical="center"/>
    </xf>
    <xf numFmtId="0" fontId="6" fillId="0" borderId="1" xfId="8" applyNumberFormat="1" applyFont="1" applyFill="1" applyBorder="1">
      <alignment vertical="center"/>
    </xf>
    <xf numFmtId="0" fontId="6" fillId="0" borderId="1" xfId="8" applyNumberFormat="1" applyFont="1" applyFill="1" applyBorder="1" applyAlignment="1">
      <alignment horizontal="left" vertical="center"/>
    </xf>
    <xf numFmtId="0" fontId="6" fillId="0" borderId="2" xfId="8" applyNumberFormat="1" applyFont="1" applyFill="1" applyBorder="1" applyAlignment="1">
      <alignment horizontal="center" vertical="center"/>
    </xf>
    <xf numFmtId="0" fontId="6" fillId="0" borderId="1" xfId="14" applyNumberFormat="1" applyFont="1" applyFill="1" applyBorder="1">
      <alignment vertical="center"/>
    </xf>
    <xf numFmtId="0" fontId="6" fillId="0" borderId="1" xfId="8" applyNumberFormat="1" applyFont="1" applyFill="1" applyBorder="1" applyAlignment="1">
      <alignment horizontal="center" vertical="center"/>
    </xf>
    <xf numFmtId="0" fontId="6" fillId="0" borderId="2" xfId="2" applyNumberFormat="1" applyFont="1" applyFill="1" applyBorder="1" applyAlignment="1">
      <alignment horizontal="center" vertical="center"/>
    </xf>
    <xf numFmtId="0" fontId="6" fillId="0" borderId="1" xfId="2" applyNumberFormat="1" applyFont="1" applyFill="1" applyBorder="1" applyAlignment="1">
      <alignment horizontal="center" vertical="center"/>
    </xf>
    <xf numFmtId="0" fontId="6" fillId="0" borderId="3" xfId="2" applyNumberFormat="1" applyFont="1" applyFill="1" applyBorder="1" applyAlignment="1">
      <alignment horizontal="center" vertical="center"/>
    </xf>
    <xf numFmtId="0" fontId="5" fillId="0" borderId="0" xfId="8" applyNumberFormat="1" applyFont="1" applyFill="1" applyAlignment="1">
      <alignment horizontal="center" vertical="center"/>
    </xf>
    <xf numFmtId="0" fontId="5" fillId="0" borderId="0" xfId="8" applyNumberFormat="1" applyFont="1" applyFill="1">
      <alignment vertical="center"/>
    </xf>
    <xf numFmtId="0" fontId="4" fillId="0" borderId="1" xfId="8" applyNumberFormat="1" applyFont="1" applyFill="1" applyBorder="1" applyAlignment="1">
      <alignment horizontal="center" vertical="center"/>
    </xf>
    <xf numFmtId="0" fontId="4" fillId="0" borderId="0" xfId="8" applyNumberFormat="1" applyFont="1" applyFill="1">
      <alignment vertical="center"/>
    </xf>
    <xf numFmtId="0" fontId="15" fillId="0" borderId="1" xfId="2" applyNumberFormat="1" applyFont="1" applyFill="1" applyBorder="1" applyAlignment="1">
      <alignment horizontal="center" vertical="center"/>
    </xf>
    <xf numFmtId="0" fontId="9" fillId="0" borderId="2" xfId="2" applyNumberFormat="1" applyFont="1" applyFill="1" applyBorder="1" applyAlignment="1">
      <alignment horizontal="center" vertical="center"/>
    </xf>
    <xf numFmtId="0" fontId="9" fillId="0" borderId="1" xfId="2" applyNumberFormat="1" applyFont="1" applyFill="1" applyBorder="1" applyAlignment="1">
      <alignment horizontal="center" vertical="center"/>
    </xf>
    <xf numFmtId="0" fontId="12" fillId="0" borderId="2" xfId="8" applyNumberFormat="1" applyFont="1" applyFill="1" applyBorder="1" applyAlignment="1">
      <alignment horizontal="center" vertical="center"/>
    </xf>
    <xf numFmtId="0" fontId="12" fillId="0" borderId="1" xfId="8" applyNumberFormat="1" applyFont="1" applyFill="1" applyBorder="1" applyAlignment="1">
      <alignment horizontal="center" vertical="center"/>
    </xf>
    <xf numFmtId="0" fontId="11" fillId="0" borderId="2" xfId="8" applyNumberFormat="1" applyFont="1" applyFill="1" applyBorder="1" applyAlignment="1">
      <alignment horizontal="center" vertical="center"/>
    </xf>
    <xf numFmtId="0" fontId="6" fillId="0" borderId="2" xfId="13" applyNumberFormat="1" applyFont="1" applyFill="1" applyBorder="1" applyAlignment="1">
      <alignment horizontal="center" vertical="center"/>
    </xf>
    <xf numFmtId="0" fontId="6" fillId="0" borderId="1" xfId="13" applyNumberFormat="1" applyFont="1" applyFill="1" applyBorder="1" applyAlignment="1">
      <alignment horizontal="center" vertical="center"/>
    </xf>
    <xf numFmtId="0" fontId="4" fillId="0" borderId="2" xfId="13" applyNumberFormat="1" applyFont="1" applyFill="1" applyBorder="1" applyAlignment="1">
      <alignment horizontal="center" vertical="center"/>
    </xf>
    <xf numFmtId="0" fontId="4" fillId="0" borderId="1" xfId="8" applyNumberFormat="1" applyFont="1" applyFill="1" applyBorder="1" applyAlignment="1">
      <alignment horizontal="left" vertical="center"/>
    </xf>
    <xf numFmtId="0" fontId="4" fillId="0" borderId="1" xfId="8" applyNumberFormat="1" applyFont="1" applyFill="1" applyBorder="1">
      <alignment vertical="center"/>
    </xf>
    <xf numFmtId="0" fontId="6" fillId="0" borderId="1" xfId="3" applyNumberFormat="1" applyFont="1" applyBorder="1" applyAlignment="1">
      <alignment horizontal="center" vertical="center"/>
    </xf>
    <xf numFmtId="0" fontId="6" fillId="0" borderId="0" xfId="3" applyNumberFormat="1" applyFont="1">
      <alignment vertical="center"/>
    </xf>
    <xf numFmtId="0" fontId="6" fillId="0" borderId="3" xfId="2" applyNumberFormat="1" applyFont="1" applyBorder="1" applyAlignment="1">
      <alignment horizontal="center" vertical="center"/>
    </xf>
    <xf numFmtId="0" fontId="15" fillId="0" borderId="1" xfId="2" applyNumberFormat="1" applyFont="1" applyBorder="1" applyAlignment="1">
      <alignment horizontal="center" vertical="center"/>
    </xf>
    <xf numFmtId="0" fontId="6" fillId="0" borderId="1" xfId="8" quotePrefix="1" applyNumberFormat="1" applyFont="1" applyFill="1" applyBorder="1">
      <alignment vertical="center"/>
    </xf>
    <xf numFmtId="0" fontId="6" fillId="6" borderId="3" xfId="2" applyNumberFormat="1" applyFont="1" applyFill="1" applyBorder="1" applyAlignment="1">
      <alignment horizontal="center" vertical="center"/>
    </xf>
    <xf numFmtId="0" fontId="5" fillId="2" borderId="0" xfId="8" applyNumberFormat="1" applyFont="1" applyFill="1" applyAlignment="1">
      <alignment horizontal="center" vertical="center"/>
    </xf>
    <xf numFmtId="0" fontId="5" fillId="2" borderId="0" xfId="8" applyNumberFormat="1" applyFont="1" applyFill="1">
      <alignment vertical="center"/>
    </xf>
    <xf numFmtId="0" fontId="4" fillId="0" borderId="1" xfId="8" applyNumberFormat="1" applyFont="1" applyBorder="1" applyAlignment="1">
      <alignment horizontal="center" vertical="center"/>
    </xf>
    <xf numFmtId="0" fontId="4" fillId="0" borderId="0" xfId="8" applyNumberFormat="1" applyFont="1">
      <alignment vertical="center"/>
    </xf>
    <xf numFmtId="0" fontId="5" fillId="13" borderId="1" xfId="8" applyNumberFormat="1" applyFont="1" applyFill="1" applyBorder="1">
      <alignment vertical="center"/>
    </xf>
    <xf numFmtId="0" fontId="6" fillId="0" borderId="3" xfId="8" applyNumberFormat="1" applyFont="1" applyFill="1" applyBorder="1" applyAlignment="1">
      <alignment horizontal="center" vertical="center"/>
    </xf>
    <xf numFmtId="0" fontId="4" fillId="0" borderId="2" xfId="8" applyNumberFormat="1" applyFont="1" applyFill="1" applyBorder="1" applyAlignment="1">
      <alignment horizontal="center" vertical="center"/>
    </xf>
    <xf numFmtId="0" fontId="4" fillId="2" borderId="0" xfId="8" applyNumberFormat="1" applyFont="1" applyFill="1">
      <alignment vertical="center"/>
    </xf>
    <xf numFmtId="0" fontId="6" fillId="2" borderId="1" xfId="8" applyNumberFormat="1" applyFont="1" applyFill="1" applyBorder="1" applyAlignment="1">
      <alignment horizontal="center" vertical="center"/>
    </xf>
    <xf numFmtId="0" fontId="6" fillId="2" borderId="1" xfId="8" applyNumberFormat="1" applyFont="1" applyFill="1" applyBorder="1">
      <alignment vertical="center"/>
    </xf>
    <xf numFmtId="0" fontId="6" fillId="0" borderId="2" xfId="8" applyNumberFormat="1" applyFont="1" applyBorder="1" applyAlignment="1">
      <alignment horizontal="center" vertical="center"/>
    </xf>
    <xf numFmtId="0" fontId="4" fillId="0" borderId="2" xfId="8" applyNumberFormat="1" applyFont="1" applyBorder="1" applyAlignment="1">
      <alignment horizontal="center" vertical="center"/>
    </xf>
    <xf numFmtId="0" fontId="14" fillId="2" borderId="0" xfId="8" applyNumberFormat="1" applyFont="1" applyFill="1">
      <alignment vertical="center"/>
    </xf>
    <xf numFmtId="0" fontId="14" fillId="5" borderId="1" xfId="8" applyNumberFormat="1" applyFont="1" applyFill="1" applyBorder="1" applyAlignment="1">
      <alignment horizontal="center" vertical="center"/>
    </xf>
    <xf numFmtId="0" fontId="14" fillId="2" borderId="1" xfId="8" applyNumberFormat="1" applyFont="1" applyFill="1" applyBorder="1">
      <alignment vertical="center"/>
    </xf>
    <xf numFmtId="0" fontId="14" fillId="0" borderId="1" xfId="8" applyNumberFormat="1" applyFont="1" applyBorder="1" applyAlignment="1">
      <alignment horizontal="center" vertical="center"/>
    </xf>
    <xf numFmtId="0" fontId="14" fillId="0" borderId="2" xfId="8" applyNumberFormat="1" applyFont="1" applyBorder="1" applyAlignment="1">
      <alignment horizontal="center" vertical="center"/>
    </xf>
    <xf numFmtId="0" fontId="14" fillId="0" borderId="1" xfId="2" applyNumberFormat="1" applyFont="1" applyBorder="1" applyAlignment="1">
      <alignment horizontal="center" vertical="center"/>
    </xf>
    <xf numFmtId="0" fontId="14" fillId="2" borderId="0" xfId="8" applyNumberFormat="1" applyFont="1" applyFill="1" applyAlignment="1">
      <alignment horizontal="center" vertical="center"/>
    </xf>
    <xf numFmtId="0" fontId="14" fillId="0" borderId="1" xfId="8" applyNumberFormat="1" applyFont="1" applyFill="1" applyBorder="1">
      <alignment vertical="center"/>
    </xf>
    <xf numFmtId="0" fontId="14" fillId="0" borderId="1" xfId="8" applyNumberFormat="1" applyFont="1" applyFill="1" applyBorder="1" applyAlignment="1">
      <alignment horizontal="left" vertical="center"/>
    </xf>
    <xf numFmtId="0" fontId="14" fillId="0" borderId="2" xfId="8" applyNumberFormat="1" applyFont="1" applyFill="1" applyBorder="1" applyAlignment="1">
      <alignment horizontal="center" vertical="center"/>
    </xf>
    <xf numFmtId="0" fontId="6" fillId="6" borderId="1" xfId="8" applyNumberFormat="1" applyFont="1" applyFill="1" applyBorder="1" applyAlignment="1">
      <alignment horizontal="center" vertical="center"/>
    </xf>
    <xf numFmtId="0" fontId="9" fillId="6" borderId="2" xfId="2" applyNumberFormat="1" applyFont="1" applyFill="1" applyBorder="1" applyAlignment="1">
      <alignment horizontal="center" vertical="center"/>
    </xf>
    <xf numFmtId="0" fontId="5" fillId="2" borderId="10" xfId="2" applyNumberFormat="1" applyFont="1" applyFill="1" applyBorder="1" applyAlignment="1">
      <alignment horizontal="center" vertical="center"/>
    </xf>
    <xf numFmtId="0" fontId="13" fillId="6" borderId="2" xfId="2" applyNumberFormat="1" applyFont="1" applyFill="1" applyBorder="1" applyAlignment="1">
      <alignment horizontal="center" vertical="center"/>
    </xf>
    <xf numFmtId="0" fontId="11" fillId="6" borderId="2" xfId="2" applyNumberFormat="1" applyFont="1" applyFill="1" applyBorder="1" applyAlignment="1">
      <alignment horizontal="center" vertical="center"/>
    </xf>
    <xf numFmtId="0" fontId="13" fillId="0" borderId="2" xfId="2" applyNumberFormat="1" applyFont="1" applyBorder="1" applyAlignment="1">
      <alignment horizontal="center" vertical="center"/>
    </xf>
    <xf numFmtId="0" fontId="13" fillId="0" borderId="2" xfId="2" applyNumberFormat="1" applyFont="1" applyFill="1" applyBorder="1" applyAlignment="1">
      <alignment horizontal="center" vertical="center"/>
    </xf>
    <xf numFmtId="0" fontId="9" fillId="0" borderId="1" xfId="7" applyNumberFormat="1" applyFont="1" applyFill="1" applyBorder="1" applyAlignment="1">
      <alignment horizontal="left" vertical="center"/>
    </xf>
    <xf numFmtId="0" fontId="9" fillId="0" borderId="2" xfId="7" applyNumberFormat="1" applyFont="1" applyFill="1" applyBorder="1" applyAlignment="1">
      <alignment horizontal="center" vertical="center"/>
    </xf>
    <xf numFmtId="0" fontId="9" fillId="0" borderId="1" xfId="7" applyNumberFormat="1" applyFont="1" applyFill="1" applyBorder="1" applyAlignment="1">
      <alignment horizontal="center" vertical="center"/>
    </xf>
    <xf numFmtId="0" fontId="4" fillId="0" borderId="1" xfId="7" applyNumberFormat="1" applyFont="1" applyFill="1" applyBorder="1" applyAlignment="1">
      <alignment horizontal="center" vertical="center"/>
    </xf>
    <xf numFmtId="0" fontId="9" fillId="0" borderId="3" xfId="2" applyNumberFormat="1" applyFont="1" applyBorder="1" applyAlignment="1">
      <alignment horizontal="center" vertical="center"/>
    </xf>
    <xf numFmtId="0" fontId="5" fillId="2" borderId="10" xfId="3" applyNumberFormat="1" applyFont="1" applyFill="1" applyBorder="1" applyAlignment="1">
      <alignment horizontal="center" vertical="center"/>
    </xf>
    <xf numFmtId="0" fontId="9" fillId="0" borderId="0" xfId="3" applyNumberFormat="1" applyFont="1">
      <alignment vertical="center"/>
    </xf>
    <xf numFmtId="0" fontId="9" fillId="6" borderId="1" xfId="2" applyNumberFormat="1" applyFont="1" applyFill="1" applyBorder="1" applyAlignment="1">
      <alignment horizontal="center" vertical="center"/>
    </xf>
    <xf numFmtId="0" fontId="9" fillId="6" borderId="3" xfId="2" applyNumberFormat="1" applyFont="1" applyFill="1" applyBorder="1" applyAlignment="1">
      <alignment horizontal="center" vertical="center"/>
    </xf>
    <xf numFmtId="0" fontId="9" fillId="0" borderId="2" xfId="3" applyNumberFormat="1" applyFont="1" applyBorder="1" applyAlignment="1">
      <alignment horizontal="center" vertical="center"/>
    </xf>
    <xf numFmtId="0" fontId="6" fillId="0" borderId="1" xfId="6" applyNumberFormat="1" applyFont="1" applyFill="1" applyBorder="1" applyAlignment="1">
      <alignment horizontal="center" vertical="center"/>
    </xf>
    <xf numFmtId="0" fontId="6" fillId="0" borderId="1" xfId="6" applyNumberFormat="1" applyFont="1" applyFill="1" applyBorder="1">
      <alignment vertical="center"/>
    </xf>
    <xf numFmtId="0" fontId="6" fillId="0" borderId="2" xfId="6" applyNumberFormat="1" applyFont="1" applyFill="1" applyBorder="1" applyAlignment="1">
      <alignment horizontal="center" vertical="center"/>
    </xf>
    <xf numFmtId="0" fontId="4" fillId="0" borderId="2" xfId="6" applyNumberFormat="1" applyFont="1" applyFill="1" applyBorder="1" applyAlignment="1">
      <alignment horizontal="center" vertical="center"/>
    </xf>
    <xf numFmtId="0" fontId="6" fillId="0" borderId="1" xfId="12" applyNumberFormat="1" applyFont="1" applyFill="1" applyBorder="1" applyAlignment="1">
      <alignment horizontal="center" vertical="center"/>
    </xf>
    <xf numFmtId="0" fontId="6" fillId="0" borderId="1" xfId="6" applyNumberFormat="1" applyFont="1" applyFill="1" applyBorder="1" applyAlignment="1">
      <alignment horizontal="left" vertical="center"/>
    </xf>
    <xf numFmtId="0" fontId="6" fillId="0" borderId="1" xfId="9" quotePrefix="1" applyNumberFormat="1" applyFont="1" applyBorder="1" applyAlignment="1">
      <alignment horizontal="left" vertical="center"/>
    </xf>
    <xf numFmtId="0" fontId="6" fillId="0" borderId="1" xfId="6" applyNumberFormat="1" applyFont="1" applyBorder="1" applyAlignment="1">
      <alignment horizontal="center" vertical="center"/>
    </xf>
    <xf numFmtId="0" fontId="5" fillId="2" borderId="0" xfId="6" applyNumberFormat="1" applyFont="1" applyFill="1" applyAlignment="1">
      <alignment horizontal="center" vertical="center"/>
    </xf>
    <xf numFmtId="0" fontId="5" fillId="2" borderId="0" xfId="6" applyNumberFormat="1" applyFont="1" applyFill="1">
      <alignment vertical="center"/>
    </xf>
    <xf numFmtId="0" fontId="4" fillId="0" borderId="1" xfId="6" applyNumberFormat="1" applyFont="1" applyBorder="1" applyAlignment="1">
      <alignment horizontal="center" vertical="center"/>
    </xf>
    <xf numFmtId="0" fontId="4" fillId="0" borderId="0" xfId="6" applyNumberFormat="1" applyFont="1">
      <alignment vertical="center"/>
    </xf>
    <xf numFmtId="0" fontId="12" fillId="0" borderId="2" xfId="2" applyNumberFormat="1" applyFont="1" applyBorder="1" applyAlignment="1">
      <alignment horizontal="center" vertical="center"/>
    </xf>
    <xf numFmtId="0" fontId="11" fillId="0" borderId="2" xfId="2" applyNumberFormat="1" applyFont="1" applyBorder="1" applyAlignment="1">
      <alignment horizontal="center" vertical="center"/>
    </xf>
    <xf numFmtId="0" fontId="4" fillId="0" borderId="0" xfId="9" applyNumberFormat="1" applyFont="1">
      <alignment vertical="center"/>
    </xf>
    <xf numFmtId="0" fontId="6" fillId="10" borderId="1" xfId="6" applyNumberFormat="1" applyFont="1" applyFill="1" applyBorder="1" applyAlignment="1">
      <alignment horizontal="center" vertical="center"/>
    </xf>
    <xf numFmtId="0" fontId="6" fillId="0" borderId="1" xfId="6" applyNumberFormat="1" applyFont="1" applyBorder="1">
      <alignment vertical="center"/>
    </xf>
    <xf numFmtId="0" fontId="6" fillId="0" borderId="1" xfId="6" quotePrefix="1" applyNumberFormat="1" applyFont="1" applyBorder="1">
      <alignment vertical="center"/>
    </xf>
    <xf numFmtId="0" fontId="12" fillId="0" borderId="1" xfId="2" applyNumberFormat="1" applyFont="1" applyBorder="1" applyAlignment="1">
      <alignment horizontal="center" vertical="center"/>
    </xf>
    <xf numFmtId="0" fontId="16" fillId="0" borderId="0" xfId="1" applyNumberFormat="1" applyFont="1">
      <alignment vertical="center"/>
    </xf>
    <xf numFmtId="0" fontId="10" fillId="0" borderId="1" xfId="6" applyNumberFormat="1" applyFont="1" applyBorder="1" applyAlignment="1">
      <alignment horizontal="center" vertical="center"/>
    </xf>
    <xf numFmtId="0" fontId="10" fillId="10" borderId="1" xfId="6" applyNumberFormat="1" applyFont="1" applyFill="1" applyBorder="1" applyAlignment="1">
      <alignment horizontal="center" vertical="center"/>
    </xf>
    <xf numFmtId="0" fontId="10" fillId="0" borderId="1" xfId="6" applyNumberFormat="1" applyFont="1" applyBorder="1">
      <alignment vertical="center"/>
    </xf>
    <xf numFmtId="0" fontId="10" fillId="0" borderId="2" xfId="6" applyNumberFormat="1" applyFont="1" applyBorder="1" applyAlignment="1">
      <alignment horizontal="center" vertical="center"/>
    </xf>
    <xf numFmtId="0" fontId="16" fillId="0" borderId="2" xfId="6" applyNumberFormat="1" applyFont="1" applyBorder="1" applyAlignment="1">
      <alignment horizontal="center" vertical="center"/>
    </xf>
    <xf numFmtId="0" fontId="10" fillId="0" borderId="1" xfId="12" applyNumberFormat="1" applyFont="1" applyBorder="1" applyAlignment="1">
      <alignment horizontal="center" vertical="center"/>
    </xf>
    <xf numFmtId="0" fontId="18" fillId="0" borderId="1" xfId="6" applyNumberFormat="1" applyFont="1" applyFill="1" applyBorder="1">
      <alignment vertical="center"/>
    </xf>
    <xf numFmtId="0" fontId="10" fillId="0" borderId="1" xfId="6" applyNumberFormat="1" applyFont="1" applyFill="1" applyBorder="1">
      <alignment vertical="center"/>
    </xf>
    <xf numFmtId="0" fontId="10" fillId="0" borderId="1" xfId="6" applyNumberFormat="1" applyFont="1" applyFill="1" applyBorder="1" applyAlignment="1">
      <alignment horizontal="left" vertical="center"/>
    </xf>
    <xf numFmtId="0" fontId="10" fillId="0" borderId="2" xfId="6" applyNumberFormat="1" applyFont="1" applyFill="1" applyBorder="1" applyAlignment="1">
      <alignment horizontal="center" vertical="center"/>
    </xf>
    <xf numFmtId="0" fontId="6" fillId="0" borderId="2" xfId="6" applyNumberFormat="1" applyFont="1" applyBorder="1" applyAlignment="1">
      <alignment horizontal="center" vertical="center"/>
    </xf>
    <xf numFmtId="0" fontId="4" fillId="0" borderId="2" xfId="6" applyNumberFormat="1" applyFont="1" applyBorder="1" applyAlignment="1">
      <alignment horizontal="center" vertical="center"/>
    </xf>
    <xf numFmtId="0" fontId="10" fillId="0" borderId="1" xfId="8" applyNumberFormat="1" applyFont="1" applyBorder="1" applyAlignment="1">
      <alignment horizontal="center" vertical="center"/>
    </xf>
    <xf numFmtId="0" fontId="10" fillId="0" borderId="1" xfId="9" applyNumberFormat="1" applyFont="1" applyFill="1" applyBorder="1">
      <alignment vertical="center"/>
    </xf>
    <xf numFmtId="0" fontId="18" fillId="0" borderId="1" xfId="9" applyNumberFormat="1" applyFont="1" applyFill="1" applyBorder="1">
      <alignment vertical="center"/>
    </xf>
    <xf numFmtId="0" fontId="4" fillId="5" borderId="2" xfId="1" applyNumberFormat="1" applyFont="1" applyFill="1" applyBorder="1" applyAlignment="1">
      <alignment horizontal="center" vertical="center"/>
    </xf>
    <xf numFmtId="0" fontId="9" fillId="10" borderId="1" xfId="6" applyNumberFormat="1" applyFont="1" applyFill="1" applyBorder="1" applyAlignment="1">
      <alignment horizontal="center" vertical="center"/>
    </xf>
    <xf numFmtId="0" fontId="9" fillId="0" borderId="2" xfId="6" applyNumberFormat="1" applyFont="1" applyBorder="1" applyAlignment="1">
      <alignment horizontal="center" vertical="center"/>
    </xf>
    <xf numFmtId="0" fontId="9" fillId="0" borderId="1" xfId="8" applyNumberFormat="1" applyFont="1" applyBorder="1" applyAlignment="1">
      <alignment horizontal="center" vertical="center"/>
    </xf>
    <xf numFmtId="0" fontId="9" fillId="0" borderId="1" xfId="9" applyNumberFormat="1" applyFont="1" applyFill="1" applyBorder="1">
      <alignment vertical="center"/>
    </xf>
    <xf numFmtId="0" fontId="9" fillId="0" borderId="2" xfId="6" applyNumberFormat="1" applyFont="1" applyFill="1" applyBorder="1" applyAlignment="1">
      <alignment horizontal="center" vertical="center"/>
    </xf>
    <xf numFmtId="0" fontId="9" fillId="0" borderId="1" xfId="6" applyNumberFormat="1" applyFont="1" applyFill="1" applyBorder="1">
      <alignment vertical="center"/>
    </xf>
    <xf numFmtId="0" fontId="18" fillId="0" borderId="2" xfId="2" applyNumberFormat="1" applyFont="1" applyBorder="1" applyAlignment="1">
      <alignment horizontal="center" vertical="center"/>
    </xf>
    <xf numFmtId="0" fontId="18" fillId="0" borderId="1" xfId="2" applyNumberFormat="1" applyFont="1" applyBorder="1" applyAlignment="1">
      <alignment horizontal="center" vertical="center"/>
    </xf>
    <xf numFmtId="0" fontId="18" fillId="0" borderId="3" xfId="2" applyNumberFormat="1" applyFont="1" applyBorder="1" applyAlignment="1">
      <alignment horizontal="center" vertical="center"/>
    </xf>
    <xf numFmtId="0" fontId="16" fillId="0" borderId="2" xfId="2" applyNumberFormat="1" applyFont="1" applyBorder="1" applyAlignment="1">
      <alignment horizontal="center" vertical="center"/>
    </xf>
    <xf numFmtId="0" fontId="6" fillId="8" borderId="1" xfId="7" applyNumberFormat="1" applyFont="1" applyFill="1" applyBorder="1" applyAlignment="1">
      <alignment horizontal="center" vertical="center"/>
    </xf>
    <xf numFmtId="0" fontId="6" fillId="4" borderId="1" xfId="1" applyNumberFormat="1" applyFont="1" applyFill="1" applyBorder="1" applyAlignment="1">
      <alignment horizontal="center" vertical="center"/>
    </xf>
    <xf numFmtId="0" fontId="5" fillId="2" borderId="0" xfId="11" applyNumberFormat="1" applyFont="1" applyFill="1" applyAlignment="1">
      <alignment horizontal="center" vertical="center"/>
    </xf>
    <xf numFmtId="0" fontId="6" fillId="0" borderId="1" xfId="5" applyNumberFormat="1" applyFont="1" applyFill="1" applyBorder="1" applyAlignment="1">
      <alignment vertical="center"/>
    </xf>
    <xf numFmtId="0" fontId="6" fillId="0" borderId="1" xfId="3" applyNumberFormat="1" applyFont="1" applyBorder="1">
      <alignment vertical="center"/>
    </xf>
    <xf numFmtId="0" fontId="6" fillId="0" borderId="2" xfId="3" applyNumberFormat="1" applyFont="1" applyBorder="1" applyAlignment="1">
      <alignment horizontal="center" vertical="center"/>
    </xf>
    <xf numFmtId="0" fontId="6" fillId="0" borderId="3" xfId="3" applyNumberFormat="1" applyFont="1" applyBorder="1" applyAlignment="1">
      <alignment horizontal="center" vertical="center"/>
    </xf>
    <xf numFmtId="0" fontId="4" fillId="0" borderId="2" xfId="3" applyNumberFormat="1" applyFont="1" applyBorder="1" applyAlignment="1">
      <alignment horizontal="center" vertical="center"/>
    </xf>
    <xf numFmtId="0" fontId="6" fillId="0" borderId="1" xfId="3" applyNumberFormat="1" applyFont="1" applyFill="1" applyBorder="1">
      <alignment vertical="center"/>
    </xf>
    <xf numFmtId="0" fontId="6" fillId="0" borderId="1" xfId="3" applyNumberFormat="1" applyFont="1" applyFill="1" applyBorder="1" applyAlignment="1">
      <alignment horizontal="left" vertical="center"/>
    </xf>
    <xf numFmtId="0" fontId="6" fillId="0" borderId="1" xfId="3" applyNumberFormat="1" applyFont="1" applyFill="1" applyBorder="1" applyAlignment="1">
      <alignment horizontal="center" vertical="center"/>
    </xf>
    <xf numFmtId="0" fontId="6" fillId="6" borderId="2" xfId="3" applyNumberFormat="1" applyFont="1" applyFill="1" applyBorder="1" applyAlignment="1">
      <alignment horizontal="center" vertical="center"/>
    </xf>
    <xf numFmtId="0" fontId="6" fillId="6" borderId="1" xfId="3" applyNumberFormat="1" applyFont="1" applyFill="1" applyBorder="1" applyAlignment="1">
      <alignment horizontal="center" vertical="center"/>
    </xf>
    <xf numFmtId="0" fontId="6" fillId="6" borderId="3" xfId="3" applyNumberFormat="1" applyFont="1" applyFill="1" applyBorder="1" applyAlignment="1">
      <alignment horizontal="center" vertical="center"/>
    </xf>
    <xf numFmtId="0" fontId="4" fillId="6" borderId="2" xfId="3" applyNumberFormat="1" applyFont="1" applyFill="1" applyBorder="1" applyAlignment="1">
      <alignment horizontal="center" vertical="center"/>
    </xf>
    <xf numFmtId="0" fontId="6" fillId="2" borderId="3" xfId="2" applyNumberFormat="1" applyFont="1" applyFill="1" applyBorder="1" applyAlignment="1">
      <alignment horizontal="center" vertical="center"/>
    </xf>
    <xf numFmtId="0" fontId="4" fillId="2" borderId="1" xfId="2" applyNumberFormat="1" applyFont="1" applyFill="1" applyBorder="1" applyAlignment="1">
      <alignment horizontal="center" vertical="center"/>
    </xf>
    <xf numFmtId="0" fontId="5" fillId="13" borderId="1" xfId="3" applyNumberFormat="1" applyFont="1" applyFill="1" applyBorder="1">
      <alignment vertical="center"/>
    </xf>
    <xf numFmtId="0" fontId="6" fillId="6" borderId="5" xfId="3" applyNumberFormat="1" applyFont="1" applyFill="1" applyBorder="1">
      <alignment vertical="center"/>
    </xf>
    <xf numFmtId="0" fontId="4" fillId="6" borderId="1" xfId="3" applyNumberFormat="1" applyFont="1" applyFill="1" applyBorder="1" applyAlignment="1">
      <alignment horizontal="center" vertical="center"/>
    </xf>
    <xf numFmtId="0" fontId="6" fillId="0" borderId="1" xfId="4" applyNumberFormat="1" applyFont="1" applyBorder="1" applyAlignment="1">
      <alignment horizontal="center" vertical="center"/>
    </xf>
    <xf numFmtId="0" fontId="6" fillId="0" borderId="3" xfId="4" applyNumberFormat="1" applyFont="1" applyBorder="1" applyAlignment="1">
      <alignment horizontal="center" vertical="center"/>
    </xf>
    <xf numFmtId="0" fontId="6" fillId="0" borderId="1" xfId="4" applyNumberFormat="1" applyFont="1" applyFill="1" applyBorder="1">
      <alignment vertical="center"/>
    </xf>
    <xf numFmtId="0" fontId="4" fillId="0" borderId="1" xfId="7" applyNumberFormat="1" applyFont="1" applyBorder="1" applyAlignment="1">
      <alignment horizontal="center" vertical="center"/>
    </xf>
    <xf numFmtId="0" fontId="9" fillId="8" borderId="2" xfId="7" applyNumberFormat="1" applyFont="1" applyFill="1" applyBorder="1" applyAlignment="1">
      <alignment horizontal="center" vertical="center"/>
    </xf>
    <xf numFmtId="0" fontId="6" fillId="0" borderId="10" xfId="1" applyNumberFormat="1" applyFont="1" applyBorder="1" applyAlignment="1">
      <alignment horizontal="center" vertical="center"/>
    </xf>
    <xf numFmtId="0" fontId="18" fillId="0" borderId="0" xfId="1" applyNumberFormat="1" applyFont="1">
      <alignment vertical="center"/>
    </xf>
    <xf numFmtId="0" fontId="6" fillId="0" borderId="1" xfId="10" applyNumberFormat="1" applyFont="1" applyBorder="1" applyAlignment="1">
      <alignment horizontal="center" vertical="center"/>
    </xf>
    <xf numFmtId="0" fontId="9" fillId="8" borderId="1" xfId="7" applyNumberFormat="1" applyFont="1" applyFill="1" applyBorder="1" applyAlignment="1">
      <alignment horizontal="center" vertical="center"/>
    </xf>
    <xf numFmtId="0" fontId="4" fillId="0" borderId="10" xfId="1" applyNumberFormat="1" applyFont="1" applyBorder="1" applyAlignment="1">
      <alignment horizontal="center" vertical="center"/>
    </xf>
    <xf numFmtId="0" fontId="6" fillId="0" borderId="10" xfId="2" applyNumberFormat="1" applyFont="1" applyBorder="1" applyAlignment="1">
      <alignment horizontal="center" vertical="center"/>
    </xf>
    <xf numFmtId="0" fontId="9" fillId="0" borderId="10" xfId="2" applyNumberFormat="1" applyFont="1" applyBorder="1" applyAlignment="1">
      <alignment horizontal="center" vertical="center"/>
    </xf>
    <xf numFmtId="0" fontId="9" fillId="10" borderId="1" xfId="1" applyNumberFormat="1" applyFont="1" applyFill="1" applyBorder="1" applyAlignment="1">
      <alignment horizontal="center" vertical="center"/>
    </xf>
    <xf numFmtId="0" fontId="9" fillId="0" borderId="1" xfId="10" applyNumberFormat="1" applyFont="1" applyBorder="1" applyAlignment="1">
      <alignment horizontal="center" vertical="center"/>
    </xf>
    <xf numFmtId="0" fontId="9" fillId="0" borderId="2" xfId="1" applyNumberFormat="1" applyFont="1" applyFill="1" applyBorder="1">
      <alignment vertical="center"/>
    </xf>
    <xf numFmtId="0" fontId="9" fillId="7" borderId="1" xfId="1" applyNumberFormat="1" applyFont="1" applyFill="1" applyBorder="1" applyAlignment="1">
      <alignment horizontal="center" vertical="center"/>
    </xf>
    <xf numFmtId="0" fontId="9" fillId="0" borderId="2" xfId="7" applyNumberFormat="1" applyFont="1" applyBorder="1" applyAlignment="1">
      <alignment horizontal="center" vertical="center"/>
    </xf>
    <xf numFmtId="0" fontId="6" fillId="9" borderId="2" xfId="2" applyNumberFormat="1" applyFont="1" applyFill="1" applyBorder="1" applyAlignment="1">
      <alignment horizontal="center" vertical="center"/>
    </xf>
    <xf numFmtId="0" fontId="6" fillId="9" borderId="1" xfId="2" applyNumberFormat="1" applyFont="1" applyFill="1" applyBorder="1" applyAlignment="1">
      <alignment horizontal="center" vertical="center"/>
    </xf>
    <xf numFmtId="0" fontId="4" fillId="9" borderId="2" xfId="2" applyNumberFormat="1" applyFont="1" applyFill="1" applyBorder="1" applyAlignment="1">
      <alignment horizontal="center" vertical="center"/>
    </xf>
    <xf numFmtId="0" fontId="6" fillId="0" borderId="1" xfId="2" applyNumberFormat="1" applyFont="1" applyBorder="1" applyAlignment="1">
      <alignment vertical="center"/>
    </xf>
    <xf numFmtId="0" fontId="9" fillId="6" borderId="2" xfId="3" applyNumberFormat="1" applyFont="1" applyFill="1" applyBorder="1" applyAlignment="1">
      <alignment horizontal="center" vertical="center"/>
    </xf>
    <xf numFmtId="0" fontId="9" fillId="6" borderId="1" xfId="3" applyNumberFormat="1" applyFont="1" applyFill="1" applyBorder="1" applyAlignment="1">
      <alignment horizontal="center" vertical="center"/>
    </xf>
    <xf numFmtId="0" fontId="9" fillId="0" borderId="2" xfId="3" applyNumberFormat="1" applyFont="1" applyFill="1" applyBorder="1" applyAlignment="1">
      <alignment horizontal="center" vertical="center"/>
    </xf>
    <xf numFmtId="0" fontId="9" fillId="0" borderId="1" xfId="3" applyNumberFormat="1" applyFont="1" applyFill="1" applyBorder="1" applyAlignment="1">
      <alignment horizontal="center" vertical="center"/>
    </xf>
    <xf numFmtId="0" fontId="4" fillId="0" borderId="2" xfId="3" applyNumberFormat="1" applyFont="1" applyFill="1" applyBorder="1" applyAlignment="1">
      <alignment horizontal="center" vertical="center"/>
    </xf>
    <xf numFmtId="0" fontId="6" fillId="6" borderId="7" xfId="2" applyNumberFormat="1" applyFont="1" applyFill="1" applyBorder="1" applyAlignment="1">
      <alignment horizontal="center" vertical="center"/>
    </xf>
    <xf numFmtId="0" fontId="18" fillId="6" borderId="2" xfId="2" applyNumberFormat="1" applyFont="1" applyFill="1" applyBorder="1" applyAlignment="1">
      <alignment horizontal="center" vertical="center"/>
    </xf>
    <xf numFmtId="0" fontId="16" fillId="6" borderId="2" xfId="2" applyNumberFormat="1" applyFont="1" applyFill="1" applyBorder="1" applyAlignment="1">
      <alignment horizontal="center" vertical="center"/>
    </xf>
    <xf numFmtId="0" fontId="16" fillId="0" borderId="2" xfId="1" applyNumberFormat="1" applyFont="1" applyBorder="1" applyAlignment="1">
      <alignment horizontal="center" vertical="center"/>
    </xf>
    <xf numFmtId="0" fontId="10" fillId="0" borderId="0" xfId="1" applyNumberFormat="1" applyFont="1">
      <alignment vertical="center"/>
    </xf>
    <xf numFmtId="0" fontId="16" fillId="0" borderId="1" xfId="1" applyNumberFormat="1" applyFont="1" applyFill="1" applyBorder="1">
      <alignment vertical="center"/>
    </xf>
    <xf numFmtId="0" fontId="6" fillId="6" borderId="2" xfId="7" applyNumberFormat="1" applyFont="1" applyFill="1" applyBorder="1" applyAlignment="1">
      <alignment horizontal="center" vertical="center"/>
    </xf>
    <xf numFmtId="0" fontId="4" fillId="0" borderId="0" xfId="2" applyNumberFormat="1" applyFont="1" applyAlignment="1">
      <alignment horizontal="center" vertical="center"/>
    </xf>
    <xf numFmtId="0" fontId="4" fillId="5" borderId="0" xfId="2" applyNumberFormat="1" applyFont="1" applyFill="1" applyAlignment="1">
      <alignment horizontal="center" vertical="center"/>
    </xf>
    <xf numFmtId="0" fontId="4" fillId="7" borderId="1" xfId="1" applyNumberFormat="1" applyFont="1" applyFill="1" applyBorder="1">
      <alignment vertical="center"/>
    </xf>
    <xf numFmtId="0" fontId="4" fillId="0" borderId="0" xfId="2" applyNumberFormat="1" applyFont="1" applyAlignment="1">
      <alignment vertical="center"/>
    </xf>
    <xf numFmtId="0" fontId="18" fillId="2" borderId="2" xfId="2" applyNumberFormat="1" applyFont="1" applyFill="1" applyBorder="1" applyAlignment="1">
      <alignment horizontal="left" vertical="center"/>
    </xf>
  </cellXfs>
  <cellStyles count="17">
    <cellStyle name="桁区切り 2" xfId="7" xr:uid="{EB7E7943-C18A-4524-9CE1-B087244EC80A}"/>
    <cellStyle name="標準" xfId="0" builtinId="0"/>
    <cellStyle name="標準 10 2 4 2 3 3" xfId="4" xr:uid="{41496F19-571E-432E-A071-634D17D9B81F}"/>
    <cellStyle name="標準 10 2 4 4 2" xfId="11" xr:uid="{86A30984-97C5-483A-B427-A901E40AE437}"/>
    <cellStyle name="標準 10 2 4 4 3 2 2" xfId="3" xr:uid="{99CDF9D8-9092-4E94-9201-251DC8C9B01A}"/>
    <cellStyle name="標準 11 2 2 4 4" xfId="14" xr:uid="{64577AF9-B878-4BFB-B877-22BE30128A72}"/>
    <cellStyle name="標準 2" xfId="5" xr:uid="{A1A858EE-2648-4AE2-B3F0-B3FA43533F92}"/>
    <cellStyle name="標準 2 3" xfId="1" xr:uid="{DD035EF0-10D8-4112-9501-5AD1C10090BA}"/>
    <cellStyle name="標準 2 3 2" xfId="2" xr:uid="{2034C780-F42E-486C-BE7C-F380A615A42F}"/>
    <cellStyle name="標準 3 3 2 4 4 4" xfId="13" xr:uid="{4D938224-32AC-4801-843C-64F1E721B472}"/>
    <cellStyle name="標準 4 2 2 2 2 2 2 2 4 2 2 14" xfId="16" xr:uid="{5B4B8608-614E-421F-A3C6-49240EC37FCB}"/>
    <cellStyle name="標準 4 2 2 2 2 2 2 2 4 4 2 2 3" xfId="15" xr:uid="{B6068D6B-7676-4776-90DC-25F45CB57A98}"/>
    <cellStyle name="標準 4 2 2 2 2 2 2 2 4 8 4 3 4" xfId="9" xr:uid="{F05CF84E-160E-47BC-AE95-6DA6EB5BEB1B}"/>
    <cellStyle name="標準 5" xfId="8" xr:uid="{B995AF30-BB6E-45FD-A1C0-E813194C40E2}"/>
    <cellStyle name="標準 6 2 2 4 2 4 4 3" xfId="12" xr:uid="{17EDDAAA-AE11-4B79-9C19-C1A739FEC522}"/>
    <cellStyle name="標準 6 2 2 4 2 4 4 5" xfId="6" xr:uid="{BB97C7D9-8CDB-4BC0-A3D1-D58F705A7276}"/>
    <cellStyle name="標準 9 3 2 5" xfId="10" xr:uid="{5B652DE3-18D7-4A62-B6F4-F625DEFBF662}"/>
  </cellStyles>
  <dxfs count="4">
    <dxf>
      <fill>
        <patternFill>
          <bgColor theme="8" tint="0.79998168889431442"/>
        </patternFill>
      </fill>
    </dxf>
    <dxf>
      <fill>
        <patternFill>
          <bgColor theme="8" tint="0.79998168889431442"/>
        </patternFill>
      </fill>
    </dxf>
    <dxf>
      <fill>
        <patternFill>
          <bgColor rgb="FFFFCCFF"/>
        </patternFill>
      </fill>
    </dxf>
    <dxf>
      <fill>
        <patternFill>
          <bgColor theme="8" tint="0.79998168889431442"/>
        </patternFill>
      </fill>
    </dxf>
  </dxfs>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nobuy\GitHub\UADA\SME_Common\2025-09-01_SME_Common_v4.3_20251028.xlsx" TargetMode="External"/><Relationship Id="rId1" Type="http://schemas.openxmlformats.org/officeDocument/2006/relationships/externalLinkPath" Target="2025-09-01_SME_Common_v4.3_20251028.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d.docs.live.net/f5fd920d7c180910/&#12489;&#12461;&#12517;&#12513;&#12531;&#12488;/&#25216;&#34899;&#22763;&#20107;&#21209;&#25152;/2025&#24180;&#24230;/ITCA/&#27161;&#28310;&#37096;&#20250;/2025-10-27&#24029;&#20869;/03_&#65288;&#20844;&#38283;&#29256;&#20505;&#35036;&#12539;&#21407;&#32025;&#65289;&#20013;&#23567;&#20225;&#26989;&#20849;&#36890;EDI&#27161;&#28310;&#20181;&#27096;&#26360;%5eLD&#20184;&#34920;&#65297;%5eLE&#21442;&#29031;&#12487;&#12540;&#12479;&#12514;&#12487;&#12523;ver.4.3_r0_draft_r6x_20251022_&#19977;&#20998;&#19968;.xlsx" TargetMode="External"/><Relationship Id="rId1" Type="http://schemas.openxmlformats.org/officeDocument/2006/relationships/externalLinkPath" Target="https://d.docs.live.net/f5fd920d7c180910/&#12489;&#12461;&#12517;&#12513;&#12531;&#12488;/&#25216;&#34899;&#22763;&#20107;&#21209;&#25152;/2025&#24180;&#24230;/ITCA/&#27161;&#28310;&#37096;&#20250;/2025-10-27&#24029;&#20869;/03_&#65288;&#20844;&#38283;&#29256;&#20505;&#35036;&#12539;&#21407;&#32025;&#65289;&#20013;&#23567;&#20225;&#26989;&#20849;&#36890;EDI&#27161;&#28310;&#20181;&#27096;&#26360;%5eLD&#20184;&#34920;&#65297;%5eLE&#21442;&#29031;&#12487;&#12540;&#12479;&#12514;&#12487;&#12523;ver.4.3_r0_draft_r6x_20251022_&#19977;&#20998;&#1996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目次"/>
      <sheetName val="統合仕入明細"/>
      <sheetName val="sme_common09-22"/>
      <sheetName val="SME09-01_FSM"/>
      <sheetName val="SME09-01_BSM"/>
      <sheetName val="SME09-01_LHM"/>
      <sheetName val="Syntax_Binding"/>
      <sheetName val="JP-PINT"/>
      <sheetName val="jp_pint_binding"/>
    </sheetNames>
    <sheetDataSet>
      <sheetData sheetId="0"/>
      <sheetData sheetId="1"/>
      <sheetData sheetId="2"/>
      <sheetData sheetId="3"/>
      <sheetData sheetId="4"/>
      <sheetData sheetId="5">
        <row r="1">
          <cell r="B1" t="str">
            <v>sme_nr</v>
          </cell>
          <cell r="I1" t="str">
            <v>label_sme</v>
          </cell>
          <cell r="AL1" t="str">
            <v>pint_id</v>
          </cell>
        </row>
        <row r="2">
          <cell r="B2">
            <v>1</v>
          </cell>
          <cell r="D2" t="str">
            <v>IV</v>
          </cell>
          <cell r="I2" t="str">
            <v>統合仕入明細書</v>
          </cell>
        </row>
        <row r="3">
          <cell r="B3">
            <v>2</v>
          </cell>
          <cell r="D3" t="str">
            <v>GR1</v>
          </cell>
          <cell r="I3" t="str">
            <v>取引設定グループ</v>
          </cell>
        </row>
        <row r="4">
          <cell r="B4">
            <v>2</v>
          </cell>
          <cell r="D4" t="str">
            <v>GR1</v>
          </cell>
          <cell r="I4" t="str">
            <v>取引設定グループ</v>
          </cell>
        </row>
        <row r="5">
          <cell r="B5">
            <v>3</v>
          </cell>
          <cell r="D5" t="str">
            <v>ID1</v>
          </cell>
          <cell r="I5" t="str">
            <v>取引ID</v>
          </cell>
        </row>
        <row r="6">
          <cell r="B6">
            <v>4</v>
          </cell>
          <cell r="D6" t="str">
            <v>ID2</v>
          </cell>
          <cell r="I6" t="str">
            <v>処理日時</v>
          </cell>
        </row>
        <row r="7">
          <cell r="B7">
            <v>5</v>
          </cell>
          <cell r="D7" t="str">
            <v>GR2</v>
          </cell>
          <cell r="I7" t="str">
            <v>取引設定内容/取引プロセスグループ</v>
          </cell>
          <cell r="AL7" t="str">
            <v>IBG-02</v>
          </cell>
        </row>
        <row r="8">
          <cell r="B8">
            <v>6</v>
          </cell>
          <cell r="D8" t="str">
            <v/>
          </cell>
          <cell r="I8" t="str">
            <v>取引プロセス設定クラス</v>
          </cell>
        </row>
        <row r="9">
          <cell r="B9">
            <v>7</v>
          </cell>
          <cell r="D9" t="str">
            <v>ID3</v>
          </cell>
          <cell r="I9" t="str">
            <v>取引プロセスID</v>
          </cell>
          <cell r="AL9" t="str">
            <v>IBT-023</v>
          </cell>
        </row>
        <row r="10">
          <cell r="B10">
            <v>8</v>
          </cell>
          <cell r="D10" t="str">
            <v>ID4</v>
          </cell>
          <cell r="I10" t="str">
            <v>取引プロセス名</v>
          </cell>
        </row>
        <row r="11">
          <cell r="B11">
            <v>9</v>
          </cell>
          <cell r="D11" t="str">
            <v/>
          </cell>
          <cell r="I11" t="str">
            <v>取引プロセス/バージョングループ</v>
          </cell>
        </row>
        <row r="12">
          <cell r="B12">
            <v>10</v>
          </cell>
          <cell r="D12" t="str">
            <v/>
          </cell>
          <cell r="I12" t="str">
            <v>バージョンクラス</v>
          </cell>
        </row>
        <row r="13">
          <cell r="B13">
            <v>11</v>
          </cell>
          <cell r="D13" t="str">
            <v>ID5</v>
          </cell>
          <cell r="I13" t="str">
            <v>バージョンID</v>
          </cell>
          <cell r="AL13" t="str">
            <v>IBT-024</v>
          </cell>
        </row>
        <row r="14">
          <cell r="B14">
            <v>12</v>
          </cell>
          <cell r="D14" t="str">
            <v>ID6</v>
          </cell>
          <cell r="I14" t="str">
            <v>バージョン発行日</v>
          </cell>
        </row>
        <row r="15">
          <cell r="B15">
            <v>13</v>
          </cell>
          <cell r="D15" t="str">
            <v>GR3</v>
          </cell>
          <cell r="I15" t="str">
            <v>取引設定内容/取引シナリオグループ</v>
          </cell>
        </row>
        <row r="16">
          <cell r="B16">
            <v>14</v>
          </cell>
          <cell r="D16" t="str">
            <v/>
          </cell>
          <cell r="I16" t="str">
            <v>取引シナリオ設定クラス</v>
          </cell>
        </row>
        <row r="17">
          <cell r="B17">
            <v>15</v>
          </cell>
          <cell r="D17" t="str">
            <v>ID7</v>
          </cell>
          <cell r="I17" t="str">
            <v>取引シナリオID</v>
          </cell>
        </row>
        <row r="18">
          <cell r="B18">
            <v>16</v>
          </cell>
          <cell r="D18" t="str">
            <v>ID8</v>
          </cell>
          <cell r="I18" t="str">
            <v>取引シナリオ名</v>
          </cell>
        </row>
        <row r="19">
          <cell r="B19">
            <v>17</v>
          </cell>
          <cell r="D19" t="str">
            <v>GR4</v>
          </cell>
          <cell r="I19" t="str">
            <v>取引設定内容/アプリケーショングループ</v>
          </cell>
        </row>
        <row r="20">
          <cell r="B20">
            <v>18</v>
          </cell>
          <cell r="D20" t="str">
            <v/>
          </cell>
          <cell r="I20" t="str">
            <v>アプリケーション設定クラス</v>
          </cell>
        </row>
        <row r="21">
          <cell r="B21">
            <v>19</v>
          </cell>
          <cell r="D21" t="str">
            <v>ID9</v>
          </cell>
          <cell r="I21" t="str">
            <v>アプリケーションID</v>
          </cell>
        </row>
        <row r="22">
          <cell r="B22">
            <v>20</v>
          </cell>
          <cell r="D22" t="str">
            <v>ID10</v>
          </cell>
          <cell r="I22" t="str">
            <v>アプリケーション名</v>
          </cell>
        </row>
        <row r="23">
          <cell r="B23">
            <v>21</v>
          </cell>
          <cell r="D23" t="str">
            <v>GR5</v>
          </cell>
          <cell r="I23" t="str">
            <v>取引設定内容/ドメイングループ</v>
          </cell>
        </row>
        <row r="24">
          <cell r="B24">
            <v>22</v>
          </cell>
          <cell r="D24" t="str">
            <v/>
          </cell>
          <cell r="I24" t="str">
            <v>ドメイン設定クラス</v>
          </cell>
        </row>
        <row r="25">
          <cell r="B25">
            <v>23</v>
          </cell>
          <cell r="D25" t="str">
            <v>ID11</v>
          </cell>
          <cell r="I25" t="str">
            <v>ドメインID</v>
          </cell>
        </row>
        <row r="26">
          <cell r="B26">
            <v>24</v>
          </cell>
          <cell r="D26" t="str">
            <v>ID12</v>
          </cell>
          <cell r="I26" t="str">
            <v>ドメイン名</v>
          </cell>
        </row>
        <row r="27">
          <cell r="B27">
            <v>25</v>
          </cell>
          <cell r="D27" t="str">
            <v/>
          </cell>
          <cell r="I27" t="str">
            <v>ドメイン/バージョングループ</v>
          </cell>
        </row>
        <row r="28">
          <cell r="B28">
            <v>26</v>
          </cell>
          <cell r="D28" t="str">
            <v/>
          </cell>
          <cell r="I28" t="str">
            <v>バージョンクラス</v>
          </cell>
        </row>
        <row r="29">
          <cell r="B29">
            <v>27</v>
          </cell>
          <cell r="D29" t="str">
            <v>ID13</v>
          </cell>
          <cell r="I29" t="str">
            <v>バージョンID</v>
          </cell>
        </row>
        <row r="30">
          <cell r="B30">
            <v>28</v>
          </cell>
          <cell r="D30" t="str">
            <v>ID14</v>
          </cell>
          <cell r="I30" t="str">
            <v>バージョン発行日</v>
          </cell>
        </row>
        <row r="31">
          <cell r="B31">
            <v>29</v>
          </cell>
          <cell r="D31" t="str">
            <v>SIGR1</v>
          </cell>
          <cell r="I31" t="str">
            <v>インボイス文書グループ</v>
          </cell>
        </row>
        <row r="32">
          <cell r="B32">
            <v>29</v>
          </cell>
          <cell r="D32" t="str">
            <v>SIGR1</v>
          </cell>
          <cell r="I32" t="str">
            <v>インボイス文書グループ</v>
          </cell>
        </row>
        <row r="33">
          <cell r="B33">
            <v>30</v>
          </cell>
          <cell r="D33" t="str">
            <v>SIID1</v>
          </cell>
          <cell r="I33" t="str">
            <v>インボイス文書ID</v>
          </cell>
          <cell r="AL33" t="str">
            <v>IBT-001</v>
          </cell>
        </row>
        <row r="34">
          <cell r="B34">
            <v>31</v>
          </cell>
          <cell r="D34" t="str">
            <v>SIID2</v>
          </cell>
          <cell r="I34" t="str">
            <v>インボイス文書名</v>
          </cell>
        </row>
        <row r="35">
          <cell r="B35">
            <v>32</v>
          </cell>
          <cell r="D35" t="str">
            <v>SIID3</v>
          </cell>
          <cell r="I35" t="str">
            <v>インボイス文書タイプコード</v>
          </cell>
          <cell r="AL35" t="str">
            <v>IBT-003</v>
          </cell>
        </row>
        <row r="36">
          <cell r="B36">
            <v>33</v>
          </cell>
          <cell r="D36" t="str">
            <v>SIID4</v>
          </cell>
          <cell r="I36" t="str">
            <v>インボイス文書発効日</v>
          </cell>
          <cell r="AL36" t="str">
            <v>IBT-002</v>
          </cell>
        </row>
        <row r="37">
          <cell r="B37">
            <v>34</v>
          </cell>
          <cell r="D37" t="str">
            <v>IID421</v>
          </cell>
          <cell r="I37" t="str">
            <v>インボイス文書言語ID</v>
          </cell>
        </row>
        <row r="38">
          <cell r="B38">
            <v>35</v>
          </cell>
          <cell r="D38" t="str">
            <v>SIID5</v>
          </cell>
          <cell r="I38" t="str">
            <v>インボイス文書目的コード</v>
          </cell>
        </row>
        <row r="39">
          <cell r="B39">
            <v>36</v>
          </cell>
          <cell r="D39" t="str">
            <v>SIID6</v>
          </cell>
          <cell r="I39" t="str">
            <v>インボイス文書履歴ID</v>
          </cell>
        </row>
        <row r="40">
          <cell r="B40">
            <v>37</v>
          </cell>
          <cell r="D40" t="str">
            <v>SIID7</v>
          </cell>
          <cell r="I40" t="str">
            <v>インボイス文書類型コード</v>
          </cell>
        </row>
        <row r="41">
          <cell r="B41">
            <v>38</v>
          </cell>
          <cell r="D41" t="str">
            <v>SIID8</v>
          </cell>
          <cell r="I41" t="str">
            <v>インボイス文書サブタイプコード</v>
          </cell>
        </row>
        <row r="42">
          <cell r="D42" t="str">
            <v>SIID801</v>
          </cell>
          <cell r="I42" t="str">
            <v>鑑ヘッダ回答タイプコード</v>
          </cell>
        </row>
        <row r="43">
          <cell r="B43">
            <v>39</v>
          </cell>
          <cell r="D43" t="str">
            <v>SIGR2</v>
          </cell>
          <cell r="I43" t="str">
            <v>インボイス文書／注釈グループ</v>
          </cell>
        </row>
        <row r="44">
          <cell r="B44">
            <v>40</v>
          </cell>
          <cell r="D44" t="str">
            <v/>
          </cell>
          <cell r="I44" t="str">
            <v>インボイス文書注釈クラス</v>
          </cell>
        </row>
        <row r="45">
          <cell r="B45">
            <v>41</v>
          </cell>
          <cell r="D45" t="str">
            <v>SIID9</v>
          </cell>
          <cell r="I45" t="str">
            <v>インボイス文書注釈表題</v>
          </cell>
        </row>
        <row r="46">
          <cell r="B46">
            <v>42</v>
          </cell>
          <cell r="D46" t="str">
            <v>SIID10</v>
          </cell>
          <cell r="I46" t="str">
            <v>インボイス文書注釈内容</v>
          </cell>
          <cell r="AL46" t="str">
            <v>IBT-022</v>
          </cell>
        </row>
        <row r="47">
          <cell r="B47">
            <v>43</v>
          </cell>
          <cell r="D47" t="str">
            <v>SIID11</v>
          </cell>
          <cell r="I47" t="str">
            <v>インボイス文書注釈ID</v>
          </cell>
        </row>
        <row r="48">
          <cell r="B48">
            <v>43.1</v>
          </cell>
          <cell r="D48" t="str">
            <v>SIGR3</v>
          </cell>
          <cell r="I48" t="str">
            <v>インボイス文書／参照文書グループ</v>
          </cell>
          <cell r="AL48" t="str">
            <v>IBG-03</v>
          </cell>
        </row>
        <row r="49">
          <cell r="B49">
            <v>43.2</v>
          </cell>
          <cell r="D49" t="str">
            <v/>
          </cell>
          <cell r="I49" t="str">
            <v>（鑑ヘッダ参照）文書クラス</v>
          </cell>
        </row>
        <row r="50">
          <cell r="B50">
            <v>43.3</v>
          </cell>
          <cell r="D50" t="str">
            <v>SIID12</v>
          </cell>
          <cell r="I50" t="str">
            <v>（鑑ヘッダ参照）文書ID</v>
          </cell>
          <cell r="AL50" t="str">
            <v>IBT-025</v>
          </cell>
        </row>
        <row r="51">
          <cell r="B51">
            <v>43.4</v>
          </cell>
          <cell r="D51" t="str">
            <v>SIID13</v>
          </cell>
          <cell r="I51" t="str">
            <v>（鑑ヘッダ参照）文書発行日</v>
          </cell>
          <cell r="AL51" t="str">
            <v>IBT-026</v>
          </cell>
        </row>
        <row r="52">
          <cell r="B52">
            <v>43.5</v>
          </cell>
          <cell r="D52" t="str">
            <v>SIID14</v>
          </cell>
          <cell r="I52" t="str">
            <v>（鑑ヘッダ参照）文書参照タイプコード</v>
          </cell>
        </row>
        <row r="53">
          <cell r="B53">
            <v>44</v>
          </cell>
          <cell r="D53" t="str">
            <v>SIGR3</v>
          </cell>
          <cell r="I53" t="str">
            <v>インボイス文書／参照文書グループ</v>
          </cell>
          <cell r="AL53" t="str">
            <v>IBG-24</v>
          </cell>
        </row>
        <row r="54">
          <cell r="B54">
            <v>45</v>
          </cell>
          <cell r="D54" t="str">
            <v/>
          </cell>
          <cell r="I54" t="str">
            <v>（鑑ヘッダ参照）文書クラス</v>
          </cell>
        </row>
        <row r="55">
          <cell r="B55">
            <v>46</v>
          </cell>
          <cell r="D55" t="str">
            <v>SIID12</v>
          </cell>
          <cell r="I55" t="str">
            <v>（鑑ヘッダ参照）文書ID</v>
          </cell>
          <cell r="AL55" t="str">
            <v>IBT-122</v>
          </cell>
        </row>
        <row r="56">
          <cell r="B56">
            <v>47</v>
          </cell>
          <cell r="D56" t="str">
            <v>SIID404</v>
          </cell>
          <cell r="I56" t="str">
            <v>（鑑ヘッダ参照）文書URL_ID</v>
          </cell>
          <cell r="AL56" t="str">
            <v>IBT-124</v>
          </cell>
        </row>
        <row r="57">
          <cell r="B57">
            <v>48</v>
          </cell>
          <cell r="D57" t="str">
            <v>SIID13</v>
          </cell>
          <cell r="I57" t="str">
            <v>（鑑ヘッダ参照）文書発行日</v>
          </cell>
        </row>
        <row r="58">
          <cell r="B58">
            <v>49</v>
          </cell>
          <cell r="D58" t="str">
            <v>SIID14</v>
          </cell>
          <cell r="I58" t="str">
            <v>（鑑ヘッダ参照）文書参照タイプコード</v>
          </cell>
        </row>
        <row r="59">
          <cell r="B59">
            <v>50</v>
          </cell>
          <cell r="D59" t="str">
            <v>SIID15</v>
          </cell>
          <cell r="I59" t="str">
            <v>（鑑ヘッダ参照）文書履歴ID</v>
          </cell>
        </row>
        <row r="60">
          <cell r="B60">
            <v>51</v>
          </cell>
          <cell r="D60" t="str">
            <v>SIID405</v>
          </cell>
          <cell r="I60" t="str">
            <v>（鑑ヘッダ参照）文書情報</v>
          </cell>
          <cell r="AL60" t="str">
            <v>IBT-123</v>
          </cell>
        </row>
        <row r="61">
          <cell r="B61">
            <v>52</v>
          </cell>
          <cell r="D61" t="str">
            <v>SIID16</v>
          </cell>
          <cell r="I61" t="str">
            <v>（鑑ヘッダ参照）文書タイプコード</v>
          </cell>
        </row>
        <row r="62">
          <cell r="B62">
            <v>54.7</v>
          </cell>
          <cell r="D62" t="str">
            <v>SIID18</v>
          </cell>
          <cell r="I62" t="str">
            <v>（鑑ヘッダ参照）文書サブタイプコード</v>
          </cell>
        </row>
        <row r="63">
          <cell r="B63">
            <v>55</v>
          </cell>
          <cell r="D63" t="str">
            <v>SIGR4</v>
          </cell>
          <cell r="I63" t="str">
            <v>インボイス文書／添付ファイルグループ</v>
          </cell>
          <cell r="AL63" t="str">
            <v>IBT-125</v>
          </cell>
        </row>
        <row r="64">
          <cell r="B64">
            <v>56</v>
          </cell>
          <cell r="D64" t="str">
            <v/>
          </cell>
          <cell r="I64" t="str">
            <v>添付バイナリファイルクラス</v>
          </cell>
        </row>
        <row r="65">
          <cell r="B65">
            <v>57</v>
          </cell>
          <cell r="D65" t="str">
            <v>SIID19</v>
          </cell>
          <cell r="I65" t="str">
            <v>添付バイナリファイルID</v>
          </cell>
        </row>
        <row r="66">
          <cell r="D66" t="str">
            <v>SIID502</v>
          </cell>
          <cell r="I66" t="str">
            <v>添付バイナリファイル版数</v>
          </cell>
        </row>
        <row r="67">
          <cell r="B67">
            <v>59</v>
          </cell>
          <cell r="D67" t="str">
            <v>SIID20</v>
          </cell>
          <cell r="I67" t="str">
            <v>添付バイナリファイル名</v>
          </cell>
          <cell r="AL67" t="str">
            <v>IBT-125-2</v>
          </cell>
        </row>
        <row r="68">
          <cell r="B68">
            <v>60</v>
          </cell>
          <cell r="D68" t="str">
            <v>SIID21</v>
          </cell>
          <cell r="I68" t="str">
            <v>添付バイナリファイルURI ID</v>
          </cell>
        </row>
        <row r="69">
          <cell r="B69">
            <v>61</v>
          </cell>
          <cell r="D69" t="str">
            <v>SIID22</v>
          </cell>
          <cell r="I69" t="str">
            <v>添付バイナリファイルのMIMEコード</v>
          </cell>
          <cell r="AL69" t="str">
            <v>IBT-125-1</v>
          </cell>
        </row>
        <row r="70">
          <cell r="D70" t="str">
            <v>SIID503</v>
          </cell>
          <cell r="I70" t="str">
            <v>添付バイナリファイルエンコードコード</v>
          </cell>
        </row>
        <row r="71">
          <cell r="D71" t="str">
            <v>SIID504</v>
          </cell>
          <cell r="I71" t="str">
            <v>添付バイナリファイル出力コード</v>
          </cell>
        </row>
        <row r="72">
          <cell r="B72">
            <v>64</v>
          </cell>
          <cell r="D72" t="str">
            <v>SIID23</v>
          </cell>
          <cell r="I72" t="str">
            <v>添付バイナリファイルの説明文</v>
          </cell>
        </row>
        <row r="73">
          <cell r="B73">
            <v>65</v>
          </cell>
          <cell r="D73" t="str">
            <v/>
          </cell>
          <cell r="I73" t="str">
            <v>インボイス文書取引内容クラス</v>
          </cell>
        </row>
        <row r="74">
          <cell r="B74">
            <v>65</v>
          </cell>
          <cell r="D74" t="str">
            <v/>
          </cell>
          <cell r="I74" t="str">
            <v>インボイス文書取引内容クラス</v>
          </cell>
        </row>
        <row r="75">
          <cell r="B75">
            <v>66</v>
          </cell>
          <cell r="D75" t="str">
            <v/>
          </cell>
          <cell r="I75" t="str">
            <v>インボイス文書取引内容／契約グループ</v>
          </cell>
        </row>
        <row r="76">
          <cell r="B76">
            <v>67</v>
          </cell>
          <cell r="D76" t="str">
            <v/>
          </cell>
          <cell r="I76" t="str">
            <v>インボイス文書契約クラス</v>
          </cell>
        </row>
        <row r="77">
          <cell r="B77">
            <v>68</v>
          </cell>
          <cell r="D77" t="str">
            <v>IGR5</v>
          </cell>
          <cell r="I77" t="str">
            <v>インボイス文書契約／受注者グループ</v>
          </cell>
          <cell r="AL77" t="str">
            <v>IBG-04</v>
          </cell>
        </row>
        <row r="78">
          <cell r="B78">
            <v>69</v>
          </cell>
          <cell r="D78" t="str">
            <v/>
          </cell>
          <cell r="I78" t="str">
            <v>受注者クラス</v>
          </cell>
        </row>
        <row r="79">
          <cell r="B79">
            <v>70</v>
          </cell>
          <cell r="D79" t="str">
            <v>IID24</v>
          </cell>
          <cell r="I79" t="str">
            <v>受注者ID</v>
          </cell>
          <cell r="AL79" t="str">
            <v>IBT-029</v>
          </cell>
        </row>
        <row r="80">
          <cell r="B80">
            <v>71</v>
          </cell>
          <cell r="D80" t="str">
            <v>IID25</v>
          </cell>
          <cell r="I80" t="str">
            <v>受注者国際企業ID</v>
          </cell>
          <cell r="AL80" t="str">
            <v>IBT-030</v>
          </cell>
        </row>
        <row r="81">
          <cell r="B81">
            <v>71.099999999999994</v>
          </cell>
          <cell r="D81" t="str">
            <v/>
          </cell>
          <cell r="I81" t="str">
            <v>受注者国際企業ID発番機関番号</v>
          </cell>
        </row>
        <row r="82">
          <cell r="B82">
            <v>72</v>
          </cell>
          <cell r="D82" t="str">
            <v>IID26</v>
          </cell>
          <cell r="I82" t="str">
            <v>受注者名称</v>
          </cell>
          <cell r="AL82" t="str">
            <v>IBT-027</v>
          </cell>
        </row>
        <row r="83">
          <cell r="B83">
            <v>75</v>
          </cell>
          <cell r="D83" t="str">
            <v>IGR6</v>
          </cell>
          <cell r="I83" t="str">
            <v>受注者／連絡先グループ</v>
          </cell>
          <cell r="AL83" t="str">
            <v>IBG-06</v>
          </cell>
        </row>
        <row r="84">
          <cell r="B84">
            <v>76</v>
          </cell>
          <cell r="D84" t="str">
            <v/>
          </cell>
          <cell r="I84" t="str">
            <v>受注者連絡先クラス</v>
          </cell>
        </row>
        <row r="85">
          <cell r="B85">
            <v>77</v>
          </cell>
          <cell r="D85" t="str">
            <v>IID29</v>
          </cell>
          <cell r="I85" t="str">
            <v>受注部門ID</v>
          </cell>
        </row>
        <row r="86">
          <cell r="B86">
            <v>78</v>
          </cell>
          <cell r="D86" t="str">
            <v>IID30</v>
          </cell>
          <cell r="I86" t="str">
            <v>受注者担当名</v>
          </cell>
          <cell r="AL86" t="str">
            <v>IBT-041</v>
          </cell>
        </row>
        <row r="87">
          <cell r="B87">
            <v>79</v>
          </cell>
          <cell r="D87" t="str">
            <v>IID31</v>
          </cell>
          <cell r="I87" t="str">
            <v>受注者部門名</v>
          </cell>
          <cell r="AL87" t="str">
            <v>IBT-041</v>
          </cell>
        </row>
        <row r="88">
          <cell r="B88">
            <v>80</v>
          </cell>
          <cell r="D88" t="str">
            <v>IID32</v>
          </cell>
          <cell r="I88" t="str">
            <v>受注者担当ID</v>
          </cell>
        </row>
        <row r="89">
          <cell r="B89">
            <v>81</v>
          </cell>
          <cell r="D89" t="str">
            <v/>
          </cell>
          <cell r="I89" t="str">
            <v>連絡先／電話情報グループ</v>
          </cell>
          <cell r="AL89" t="str">
            <v>IBG-09</v>
          </cell>
        </row>
        <row r="90">
          <cell r="B90">
            <v>82</v>
          </cell>
          <cell r="D90" t="str">
            <v/>
          </cell>
          <cell r="I90" t="str">
            <v>電話通信クラス</v>
          </cell>
        </row>
        <row r="91">
          <cell r="B91">
            <v>83</v>
          </cell>
          <cell r="D91" t="str">
            <v>IID33</v>
          </cell>
          <cell r="I91" t="str">
            <v>受注者電話番号</v>
          </cell>
          <cell r="AL91" t="str">
            <v>IBT-042</v>
          </cell>
        </row>
        <row r="92">
          <cell r="B92">
            <v>84</v>
          </cell>
          <cell r="D92" t="str">
            <v/>
          </cell>
          <cell r="I92" t="str">
            <v>連絡先／FAX情報グループ</v>
          </cell>
        </row>
        <row r="93">
          <cell r="B93">
            <v>85</v>
          </cell>
          <cell r="D93" t="str">
            <v/>
          </cell>
          <cell r="I93" t="str">
            <v>FAX通信クラス</v>
          </cell>
        </row>
        <row r="94">
          <cell r="B94">
            <v>86</v>
          </cell>
          <cell r="D94" t="str">
            <v>IID34</v>
          </cell>
          <cell r="I94" t="str">
            <v>受注者FAX番号</v>
          </cell>
        </row>
        <row r="95">
          <cell r="B95">
            <v>87</v>
          </cell>
          <cell r="D95" t="str">
            <v/>
          </cell>
          <cell r="I95" t="str">
            <v>連絡先／電子メール情報グループ</v>
          </cell>
        </row>
        <row r="96">
          <cell r="B96">
            <v>88</v>
          </cell>
          <cell r="D96" t="str">
            <v/>
          </cell>
          <cell r="I96" t="str">
            <v>電子メール通信クラス</v>
          </cell>
        </row>
        <row r="97">
          <cell r="B97">
            <v>89</v>
          </cell>
          <cell r="D97" t="str">
            <v>IID35</v>
          </cell>
          <cell r="I97" t="str">
            <v>受注者メールアドレス</v>
          </cell>
          <cell r="AL97" t="str">
            <v>IBT-043</v>
          </cell>
        </row>
        <row r="98">
          <cell r="B98">
            <v>90</v>
          </cell>
          <cell r="D98" t="str">
            <v>IGR7</v>
          </cell>
          <cell r="I98" t="str">
            <v>受注者／住所グループ</v>
          </cell>
          <cell r="AL98" t="str">
            <v>IBG-05</v>
          </cell>
        </row>
        <row r="99">
          <cell r="B99">
            <v>91</v>
          </cell>
          <cell r="D99" t="str">
            <v/>
          </cell>
          <cell r="I99" t="str">
            <v>受注者住所クラス</v>
          </cell>
        </row>
        <row r="100">
          <cell r="B100">
            <v>92</v>
          </cell>
          <cell r="D100" t="str">
            <v>IID36</v>
          </cell>
          <cell r="I100" t="str">
            <v>受注者郵便番号</v>
          </cell>
          <cell r="AL100" t="str">
            <v>IBT-038</v>
          </cell>
        </row>
        <row r="101">
          <cell r="B101">
            <v>93</v>
          </cell>
          <cell r="D101" t="str">
            <v>IID37</v>
          </cell>
          <cell r="I101" t="str">
            <v>受注者住所1</v>
          </cell>
          <cell r="AL101" t="str">
            <v>IBT-035</v>
          </cell>
        </row>
        <row r="102">
          <cell r="B102">
            <v>94</v>
          </cell>
          <cell r="D102" t="str">
            <v>IID38</v>
          </cell>
          <cell r="I102" t="str">
            <v>受注者住所2</v>
          </cell>
          <cell r="AL102" t="str">
            <v>IBT-036</v>
          </cell>
        </row>
        <row r="103">
          <cell r="B103">
            <v>95</v>
          </cell>
          <cell r="D103" t="str">
            <v>IID39</v>
          </cell>
          <cell r="I103" t="str">
            <v>受注者住所3</v>
          </cell>
          <cell r="AL103" t="str">
            <v>IBT-162</v>
          </cell>
        </row>
        <row r="104">
          <cell r="B104">
            <v>96</v>
          </cell>
          <cell r="D104" t="str">
            <v>IID40</v>
          </cell>
          <cell r="I104" t="str">
            <v>受注者国ID</v>
          </cell>
          <cell r="AL104" t="str">
            <v>IBT-040</v>
          </cell>
        </row>
        <row r="105">
          <cell r="B105">
            <v>97</v>
          </cell>
          <cell r="D105" t="str">
            <v>IGR8</v>
          </cell>
          <cell r="I105" t="str">
            <v>受注者／国際アドレスグループ</v>
          </cell>
        </row>
        <row r="106">
          <cell r="B106">
            <v>98</v>
          </cell>
          <cell r="D106" t="str">
            <v/>
          </cell>
          <cell r="I106" t="str">
            <v>国際アドレスクラス</v>
          </cell>
        </row>
        <row r="107">
          <cell r="B107">
            <v>99</v>
          </cell>
          <cell r="D107" t="str">
            <v>IID41</v>
          </cell>
          <cell r="I107" t="str">
            <v>受注者国際アドレスID</v>
          </cell>
          <cell r="AL107" t="str">
            <v>IBT-034</v>
          </cell>
        </row>
        <row r="108">
          <cell r="B108">
            <v>100</v>
          </cell>
          <cell r="D108" t="str">
            <v>IID42</v>
          </cell>
          <cell r="I108" t="str">
            <v>受注者国際アドレス登録機関ID</v>
          </cell>
          <cell r="AL108" t="str">
            <v>IBT-034-1</v>
          </cell>
        </row>
        <row r="109">
          <cell r="B109">
            <v>100.1</v>
          </cell>
          <cell r="D109" t="str">
            <v/>
          </cell>
          <cell r="I109" t="str">
            <v>受注者適格請求書発行事業者登録番号グループ</v>
          </cell>
        </row>
        <row r="110">
          <cell r="B110">
            <v>100.2</v>
          </cell>
          <cell r="D110" t="str">
            <v/>
          </cell>
          <cell r="I110" t="str">
            <v>受注者適格請求書発行事業者登録番号クラス</v>
          </cell>
        </row>
        <row r="111">
          <cell r="B111">
            <v>100.3</v>
          </cell>
          <cell r="D111" t="str">
            <v>IID27</v>
          </cell>
          <cell r="I111" t="str">
            <v>受注者適格請求書発行事業者登録番号</v>
          </cell>
          <cell r="AL111" t="str">
            <v>IBT-031</v>
          </cell>
        </row>
        <row r="112">
          <cell r="B112">
            <v>100.4</v>
          </cell>
          <cell r="D112" t="str">
            <v/>
          </cell>
          <cell r="I112" t="str">
            <v>受注者事業者登録番号発番組織</v>
          </cell>
        </row>
        <row r="113">
          <cell r="B113">
            <v>101</v>
          </cell>
          <cell r="D113" t="str">
            <v>IGR9</v>
          </cell>
          <cell r="I113" t="str">
            <v>インボイス文書契約／発注者グループ</v>
          </cell>
          <cell r="AL113" t="str">
            <v>IBG-07</v>
          </cell>
        </row>
        <row r="114">
          <cell r="B114">
            <v>102</v>
          </cell>
          <cell r="D114" t="str">
            <v/>
          </cell>
          <cell r="I114" t="str">
            <v>発注者クラス</v>
          </cell>
        </row>
        <row r="115">
          <cell r="B115">
            <v>103</v>
          </cell>
          <cell r="D115" t="str">
            <v>IID43</v>
          </cell>
          <cell r="I115" t="str">
            <v>発注者ID</v>
          </cell>
          <cell r="AL115" t="str">
            <v>IBT-046</v>
          </cell>
        </row>
        <row r="116">
          <cell r="B116">
            <v>104</v>
          </cell>
          <cell r="D116" t="str">
            <v>IID44</v>
          </cell>
          <cell r="I116" t="str">
            <v>発注者国際企業ID</v>
          </cell>
          <cell r="AL116" t="str">
            <v>IBT-047</v>
          </cell>
        </row>
        <row r="117">
          <cell r="B117">
            <v>104.1</v>
          </cell>
          <cell r="D117" t="str">
            <v/>
          </cell>
          <cell r="I117" t="str">
            <v>発注者国際企業ID発番組織</v>
          </cell>
          <cell r="AL117" t="str">
            <v>IBT-048</v>
          </cell>
        </row>
        <row r="118">
          <cell r="B118">
            <v>105</v>
          </cell>
          <cell r="D118" t="str">
            <v>IID45</v>
          </cell>
          <cell r="I118" t="str">
            <v>発注者名称</v>
          </cell>
          <cell r="AL118" t="str">
            <v>IBT-044</v>
          </cell>
        </row>
        <row r="119">
          <cell r="B119">
            <v>108</v>
          </cell>
          <cell r="D119" t="str">
            <v>IGR10</v>
          </cell>
          <cell r="I119" t="str">
            <v>発注者／連絡先グループ</v>
          </cell>
          <cell r="AL119" t="str">
            <v>IBG-09</v>
          </cell>
        </row>
        <row r="120">
          <cell r="B120">
            <v>109</v>
          </cell>
          <cell r="D120" t="str">
            <v/>
          </cell>
          <cell r="I120" t="str">
            <v>発注者連絡先クラス</v>
          </cell>
        </row>
        <row r="121">
          <cell r="B121">
            <v>110</v>
          </cell>
          <cell r="D121" t="str">
            <v>IID48</v>
          </cell>
          <cell r="I121" t="str">
            <v>発注者部門ID</v>
          </cell>
        </row>
        <row r="122">
          <cell r="B122">
            <v>111</v>
          </cell>
          <cell r="D122" t="str">
            <v>IID49</v>
          </cell>
          <cell r="I122" t="str">
            <v>発注者担当名</v>
          </cell>
          <cell r="AL122" t="str">
            <v>IBT-056</v>
          </cell>
        </row>
        <row r="123">
          <cell r="B123">
            <v>112</v>
          </cell>
          <cell r="D123" t="str">
            <v>IID50</v>
          </cell>
          <cell r="I123" t="str">
            <v>発注者部門名</v>
          </cell>
          <cell r="AL123" t="str">
            <v>IBT-056</v>
          </cell>
        </row>
        <row r="124">
          <cell r="B124">
            <v>113</v>
          </cell>
          <cell r="D124" t="str">
            <v>IID51</v>
          </cell>
          <cell r="I124" t="str">
            <v>発注者担当ID</v>
          </cell>
        </row>
        <row r="125">
          <cell r="B125">
            <v>114</v>
          </cell>
          <cell r="D125" t="str">
            <v/>
          </cell>
          <cell r="I125" t="str">
            <v>連絡先／電話情報グループ</v>
          </cell>
        </row>
        <row r="126">
          <cell r="B126">
            <v>115</v>
          </cell>
          <cell r="D126" t="str">
            <v/>
          </cell>
          <cell r="I126" t="str">
            <v>電話通信クラス</v>
          </cell>
        </row>
        <row r="127">
          <cell r="B127">
            <v>116</v>
          </cell>
          <cell r="D127" t="str">
            <v>IID52</v>
          </cell>
          <cell r="I127" t="str">
            <v>発注者電話番号</v>
          </cell>
          <cell r="AL127" t="str">
            <v>IBT-057</v>
          </cell>
        </row>
        <row r="128">
          <cell r="B128">
            <v>117</v>
          </cell>
          <cell r="D128" t="str">
            <v/>
          </cell>
          <cell r="I128" t="str">
            <v>連絡先／FAX情報グループ</v>
          </cell>
        </row>
        <row r="129">
          <cell r="B129">
            <v>118</v>
          </cell>
          <cell r="D129" t="str">
            <v/>
          </cell>
          <cell r="I129" t="str">
            <v>FAX通信クラス</v>
          </cell>
        </row>
        <row r="130">
          <cell r="B130">
            <v>119</v>
          </cell>
          <cell r="D130" t="str">
            <v>IID53</v>
          </cell>
          <cell r="I130" t="str">
            <v>発注者FAX番号</v>
          </cell>
        </row>
        <row r="131">
          <cell r="B131">
            <v>120</v>
          </cell>
          <cell r="D131" t="str">
            <v/>
          </cell>
          <cell r="I131" t="str">
            <v>連絡先／電子メール情報グループ</v>
          </cell>
        </row>
        <row r="132">
          <cell r="B132">
            <v>121</v>
          </cell>
          <cell r="D132" t="str">
            <v/>
          </cell>
          <cell r="I132" t="str">
            <v>電子メール通信クラス</v>
          </cell>
        </row>
        <row r="133">
          <cell r="B133">
            <v>122</v>
          </cell>
          <cell r="D133" t="str">
            <v>IID54</v>
          </cell>
          <cell r="I133" t="str">
            <v>発注者メールアドレス</v>
          </cell>
          <cell r="AL133" t="str">
            <v>IBT-058</v>
          </cell>
        </row>
        <row r="134">
          <cell r="B134">
            <v>123</v>
          </cell>
          <cell r="D134" t="str">
            <v>IGR11</v>
          </cell>
          <cell r="I134" t="str">
            <v>発注者／住所グループ</v>
          </cell>
          <cell r="AL134" t="str">
            <v>IBG-08</v>
          </cell>
        </row>
        <row r="135">
          <cell r="B135">
            <v>124</v>
          </cell>
          <cell r="D135" t="str">
            <v/>
          </cell>
          <cell r="I135" t="str">
            <v>発注者住所クラス</v>
          </cell>
        </row>
        <row r="136">
          <cell r="B136">
            <v>125</v>
          </cell>
          <cell r="D136" t="str">
            <v>IID55</v>
          </cell>
          <cell r="I136" t="str">
            <v>発注者郵便番号</v>
          </cell>
          <cell r="AL136" t="str">
            <v>IBT-053</v>
          </cell>
        </row>
        <row r="137">
          <cell r="B137">
            <v>126</v>
          </cell>
          <cell r="D137" t="str">
            <v>IID56</v>
          </cell>
          <cell r="I137" t="str">
            <v>発注者住所1</v>
          </cell>
          <cell r="AL137" t="str">
            <v>IBT-050</v>
          </cell>
        </row>
        <row r="138">
          <cell r="B138">
            <v>127</v>
          </cell>
          <cell r="D138" t="str">
            <v>IID57</v>
          </cell>
          <cell r="I138" t="str">
            <v>発注者住所2</v>
          </cell>
          <cell r="AL138" t="str">
            <v>IBT-051</v>
          </cell>
        </row>
        <row r="139">
          <cell r="B139">
            <v>128</v>
          </cell>
          <cell r="D139" t="str">
            <v>IID58</v>
          </cell>
          <cell r="I139" t="str">
            <v>発注者住所3</v>
          </cell>
          <cell r="AL139" t="str">
            <v>IBT-163</v>
          </cell>
        </row>
        <row r="140">
          <cell r="B140">
            <v>129</v>
          </cell>
          <cell r="D140" t="str">
            <v>IID59</v>
          </cell>
          <cell r="I140" t="str">
            <v>発注者国ID</v>
          </cell>
          <cell r="AL140" t="str">
            <v>IBT-055</v>
          </cell>
        </row>
        <row r="141">
          <cell r="B141">
            <v>130</v>
          </cell>
          <cell r="D141" t="str">
            <v>IGR12</v>
          </cell>
          <cell r="I141" t="str">
            <v>発注者／国際アドレスグループ</v>
          </cell>
        </row>
        <row r="142">
          <cell r="B142">
            <v>131</v>
          </cell>
          <cell r="D142" t="str">
            <v/>
          </cell>
          <cell r="I142" t="str">
            <v>国際アドレスクラス</v>
          </cell>
        </row>
        <row r="143">
          <cell r="B143">
            <v>132</v>
          </cell>
          <cell r="D143" t="str">
            <v>IID60</v>
          </cell>
          <cell r="I143" t="str">
            <v>発注者国際アドレスID</v>
          </cell>
          <cell r="AL143" t="str">
            <v>IBT-049</v>
          </cell>
        </row>
        <row r="144">
          <cell r="B144">
            <v>133</v>
          </cell>
          <cell r="D144" t="str">
            <v/>
          </cell>
          <cell r="I144" t="str">
            <v>発注者／国際アドレス登録機関ID</v>
          </cell>
          <cell r="AL144" t="str">
            <v>IBT-049-1</v>
          </cell>
        </row>
        <row r="145">
          <cell r="B145">
            <v>133.1</v>
          </cell>
          <cell r="D145" t="str">
            <v/>
          </cell>
          <cell r="I145" t="str">
            <v>発注者適格請求書発行事業者登録番号グループ</v>
          </cell>
        </row>
        <row r="146">
          <cell r="B146">
            <v>133.19999999999999</v>
          </cell>
          <cell r="D146" t="str">
            <v/>
          </cell>
          <cell r="I146" t="str">
            <v>発注者適格請求書発行事業者登録番号クラス</v>
          </cell>
        </row>
        <row r="147">
          <cell r="B147">
            <v>133.30000000000001</v>
          </cell>
          <cell r="D147" t="str">
            <v>IID46</v>
          </cell>
          <cell r="I147" t="str">
            <v>発注者適格請求書発行事業者登録番号</v>
          </cell>
          <cell r="AL147" t="str">
            <v>IBT-031</v>
          </cell>
        </row>
        <row r="148">
          <cell r="B148">
            <v>133.4</v>
          </cell>
          <cell r="D148" t="str">
            <v/>
          </cell>
          <cell r="I148" t="str">
            <v>発注者事業者登録番号発番組織</v>
          </cell>
        </row>
        <row r="149">
          <cell r="B149">
            <v>134</v>
          </cell>
          <cell r="D149" t="str">
            <v>IGR13</v>
          </cell>
          <cell r="I149" t="str">
            <v>インボイス文書契約／プロジェクト調達グループ</v>
          </cell>
        </row>
        <row r="150">
          <cell r="B150">
            <v>135</v>
          </cell>
          <cell r="D150" t="str">
            <v/>
          </cell>
          <cell r="I150" t="str">
            <v>プロジェクト調達クラス</v>
          </cell>
        </row>
        <row r="151">
          <cell r="B151">
            <v>136</v>
          </cell>
          <cell r="D151" t="str">
            <v>OID63</v>
          </cell>
          <cell r="I151" t="str">
            <v>プロジェクトID</v>
          </cell>
        </row>
        <row r="152">
          <cell r="B152">
            <v>137</v>
          </cell>
          <cell r="D152" t="str">
            <v>OID64</v>
          </cell>
          <cell r="I152" t="str">
            <v>プロジェクト名</v>
          </cell>
          <cell r="AL152" t="str">
            <v>IBT-011</v>
          </cell>
        </row>
        <row r="153">
          <cell r="B153">
            <v>138</v>
          </cell>
          <cell r="D153" t="str">
            <v/>
          </cell>
          <cell r="I153" t="str">
            <v>インボイス文書取引内容／配送グループ</v>
          </cell>
        </row>
        <row r="154">
          <cell r="B154">
            <v>139</v>
          </cell>
          <cell r="D154" t="str">
            <v/>
          </cell>
          <cell r="I154" t="str">
            <v>インボイス文書配送クラス</v>
          </cell>
        </row>
        <row r="155">
          <cell r="B155">
            <v>140</v>
          </cell>
          <cell r="D155" t="str">
            <v/>
          </cell>
          <cell r="I155" t="str">
            <v>インボイス文書配送／参照文書クラス</v>
          </cell>
        </row>
        <row r="156">
          <cell r="B156">
            <v>141</v>
          </cell>
          <cell r="D156" t="str">
            <v/>
          </cell>
          <cell r="I156" t="str">
            <v>配送参照文書クラス</v>
          </cell>
        </row>
        <row r="157">
          <cell r="B157">
            <v>142</v>
          </cell>
          <cell r="D157" t="str">
            <v/>
          </cell>
          <cell r="I157" t="str">
            <v>参照文書ID</v>
          </cell>
        </row>
        <row r="158">
          <cell r="B158">
            <v>143</v>
          </cell>
          <cell r="D158" t="str">
            <v>IGR14</v>
          </cell>
          <cell r="I158" t="str">
            <v>インボイス文書取引内容／決済グループ</v>
          </cell>
        </row>
        <row r="159">
          <cell r="B159">
            <v>144</v>
          </cell>
          <cell r="D159" t="str">
            <v/>
          </cell>
          <cell r="I159" t="str">
            <v>インボイス文書決済クラス</v>
          </cell>
        </row>
        <row r="160">
          <cell r="B160">
            <v>145</v>
          </cell>
          <cell r="D160" t="str">
            <v>IID64</v>
          </cell>
          <cell r="I160" t="str">
            <v>税通貨コード</v>
          </cell>
          <cell r="AL160" t="str">
            <v>IBT-006</v>
          </cell>
        </row>
        <row r="161">
          <cell r="B161">
            <v>146</v>
          </cell>
          <cell r="D161" t="str">
            <v>IID65</v>
          </cell>
          <cell r="I161" t="str">
            <v>文書通貨コード</v>
          </cell>
          <cell r="AL161" t="str">
            <v>IBT-005</v>
          </cell>
        </row>
        <row r="162">
          <cell r="B162">
            <v>147</v>
          </cell>
          <cell r="D162" t="str">
            <v>IID66</v>
          </cell>
          <cell r="I162" t="str">
            <v>支払通貨コード</v>
          </cell>
        </row>
        <row r="163">
          <cell r="B163">
            <v>148</v>
          </cell>
          <cell r="D163" t="str">
            <v>IGR15</v>
          </cell>
          <cell r="I163" t="str">
            <v>インボイス文書決済／請求者グループ</v>
          </cell>
        </row>
        <row r="164">
          <cell r="B164">
            <v>149</v>
          </cell>
          <cell r="D164" t="str">
            <v/>
          </cell>
          <cell r="I164" t="str">
            <v>請求者クラス</v>
          </cell>
        </row>
        <row r="165">
          <cell r="B165">
            <v>150</v>
          </cell>
          <cell r="D165" t="str">
            <v>IID67</v>
          </cell>
          <cell r="I165" t="str">
            <v>請求者ID</v>
          </cell>
        </row>
        <row r="166">
          <cell r="B166">
            <v>151</v>
          </cell>
          <cell r="D166" t="str">
            <v>IID68</v>
          </cell>
          <cell r="I166" t="str">
            <v>請求者国際企業ID</v>
          </cell>
        </row>
        <row r="167">
          <cell r="B167">
            <v>151.1</v>
          </cell>
          <cell r="D167" t="str">
            <v/>
          </cell>
          <cell r="I167" t="str">
            <v>請求者国際企業登録機関番号</v>
          </cell>
        </row>
        <row r="168">
          <cell r="B168">
            <v>152</v>
          </cell>
          <cell r="D168" t="str">
            <v>IID69</v>
          </cell>
          <cell r="I168" t="str">
            <v>請求者名称</v>
          </cell>
        </row>
        <row r="169">
          <cell r="B169">
            <v>155</v>
          </cell>
          <cell r="D169" t="str">
            <v>IGR16</v>
          </cell>
          <cell r="I169" t="str">
            <v>請求者／連絡先グループ</v>
          </cell>
        </row>
        <row r="170">
          <cell r="B170">
            <v>156</v>
          </cell>
          <cell r="D170" t="str">
            <v/>
          </cell>
          <cell r="I170" t="str">
            <v>請求者連絡先クラス</v>
          </cell>
        </row>
        <row r="171">
          <cell r="B171">
            <v>157</v>
          </cell>
          <cell r="D171" t="str">
            <v>IID72</v>
          </cell>
          <cell r="I171" t="str">
            <v>請求部門ID</v>
          </cell>
        </row>
        <row r="172">
          <cell r="B172">
            <v>158</v>
          </cell>
          <cell r="D172" t="str">
            <v>IID73</v>
          </cell>
          <cell r="I172" t="str">
            <v>請求者担当名</v>
          </cell>
        </row>
        <row r="173">
          <cell r="B173">
            <v>159</v>
          </cell>
          <cell r="D173" t="str">
            <v>IID74</v>
          </cell>
          <cell r="I173" t="str">
            <v>請求者部門名</v>
          </cell>
        </row>
        <row r="174">
          <cell r="B174">
            <v>160</v>
          </cell>
          <cell r="D174" t="str">
            <v>IID75</v>
          </cell>
          <cell r="I174" t="str">
            <v>請求者担当ID</v>
          </cell>
        </row>
        <row r="175">
          <cell r="B175">
            <v>161</v>
          </cell>
          <cell r="D175" t="str">
            <v/>
          </cell>
          <cell r="I175" t="str">
            <v>連絡先／電話情報グループ</v>
          </cell>
        </row>
        <row r="176">
          <cell r="B176">
            <v>162</v>
          </cell>
          <cell r="D176" t="str">
            <v/>
          </cell>
          <cell r="I176" t="str">
            <v>電話通信クラス</v>
          </cell>
        </row>
        <row r="177">
          <cell r="B177">
            <v>163</v>
          </cell>
          <cell r="D177" t="str">
            <v>IID76</v>
          </cell>
          <cell r="I177" t="str">
            <v>請求者電話番号</v>
          </cell>
        </row>
        <row r="178">
          <cell r="B178">
            <v>164</v>
          </cell>
          <cell r="D178" t="str">
            <v/>
          </cell>
          <cell r="I178" t="str">
            <v>連絡先／FAX情報グループ</v>
          </cell>
        </row>
        <row r="179">
          <cell r="B179">
            <v>165</v>
          </cell>
          <cell r="D179" t="str">
            <v/>
          </cell>
          <cell r="I179" t="str">
            <v>FAX通信クラス</v>
          </cell>
        </row>
        <row r="180">
          <cell r="B180">
            <v>166</v>
          </cell>
          <cell r="D180" t="str">
            <v>IID77</v>
          </cell>
          <cell r="I180" t="str">
            <v>請求者FAX番号</v>
          </cell>
        </row>
        <row r="181">
          <cell r="B181">
            <v>167</v>
          </cell>
          <cell r="D181" t="str">
            <v/>
          </cell>
          <cell r="I181" t="str">
            <v>連絡先／電子メール情報グループ</v>
          </cell>
        </row>
        <row r="182">
          <cell r="B182">
            <v>168</v>
          </cell>
          <cell r="D182" t="str">
            <v/>
          </cell>
          <cell r="I182" t="str">
            <v>電子メール通信クラス</v>
          </cell>
        </row>
        <row r="183">
          <cell r="B183">
            <v>169</v>
          </cell>
          <cell r="D183" t="str">
            <v>IID78</v>
          </cell>
          <cell r="I183" t="str">
            <v>請求者メールアドレス</v>
          </cell>
        </row>
        <row r="184">
          <cell r="B184">
            <v>170</v>
          </cell>
          <cell r="D184" t="str">
            <v>IGR17</v>
          </cell>
          <cell r="I184" t="str">
            <v>請求者／住所グループ</v>
          </cell>
        </row>
        <row r="185">
          <cell r="B185">
            <v>171</v>
          </cell>
          <cell r="D185" t="str">
            <v/>
          </cell>
          <cell r="I185" t="str">
            <v>請求者住所クラス</v>
          </cell>
        </row>
        <row r="186">
          <cell r="B186">
            <v>172</v>
          </cell>
          <cell r="D186" t="str">
            <v>IID79</v>
          </cell>
          <cell r="I186" t="str">
            <v>請求者郵便番号</v>
          </cell>
        </row>
        <row r="187">
          <cell r="B187">
            <v>173</v>
          </cell>
          <cell r="D187" t="str">
            <v>IID80</v>
          </cell>
          <cell r="I187" t="str">
            <v>請求者住所1</v>
          </cell>
        </row>
        <row r="188">
          <cell r="B188">
            <v>174</v>
          </cell>
          <cell r="D188" t="str">
            <v>IID81</v>
          </cell>
          <cell r="I188" t="str">
            <v>請求者住所2</v>
          </cell>
        </row>
        <row r="189">
          <cell r="B189">
            <v>175</v>
          </cell>
          <cell r="D189" t="str">
            <v>IID82</v>
          </cell>
          <cell r="I189" t="str">
            <v>請求者住所3</v>
          </cell>
        </row>
        <row r="190">
          <cell r="B190">
            <v>176</v>
          </cell>
          <cell r="D190" t="str">
            <v>IID83</v>
          </cell>
          <cell r="I190" t="str">
            <v>請求者国ID</v>
          </cell>
        </row>
        <row r="191">
          <cell r="B191">
            <v>177</v>
          </cell>
          <cell r="D191" t="str">
            <v>IGR18</v>
          </cell>
          <cell r="I191" t="str">
            <v>請求者／国際アドレスグループ</v>
          </cell>
        </row>
        <row r="192">
          <cell r="B192">
            <v>152.19999999999999</v>
          </cell>
          <cell r="D192" t="str">
            <v/>
          </cell>
          <cell r="I192" t="str">
            <v>国際アドレスクラス</v>
          </cell>
        </row>
        <row r="193">
          <cell r="B193">
            <v>152.30000000000001</v>
          </cell>
          <cell r="D193" t="str">
            <v>IID84</v>
          </cell>
          <cell r="I193" t="str">
            <v>請求者国際アドレスID</v>
          </cell>
          <cell r="AL193" t="str">
            <v>IBT-049</v>
          </cell>
        </row>
        <row r="194">
          <cell r="B194">
            <v>152.4</v>
          </cell>
          <cell r="D194" t="str">
            <v>IID85</v>
          </cell>
          <cell r="I194" t="str">
            <v>請求者国際アドレス登録機関ID</v>
          </cell>
          <cell r="AL194" t="str">
            <v>IBT-049-1</v>
          </cell>
        </row>
        <row r="195">
          <cell r="B195">
            <v>180.1</v>
          </cell>
          <cell r="D195" t="str">
            <v/>
          </cell>
          <cell r="I195" t="str">
            <v>請求者適格請求書発行事業者登録番号グループ</v>
          </cell>
        </row>
        <row r="196">
          <cell r="B196">
            <v>180.2</v>
          </cell>
          <cell r="D196" t="str">
            <v/>
          </cell>
          <cell r="I196" t="str">
            <v>請求者適格請求書発行事業者登録番号クラス</v>
          </cell>
        </row>
        <row r="197">
          <cell r="B197">
            <v>180.3</v>
          </cell>
          <cell r="D197" t="str">
            <v>IID70</v>
          </cell>
          <cell r="I197" t="str">
            <v>請求者適格請求書発行事業者登録番号</v>
          </cell>
        </row>
        <row r="198">
          <cell r="B198">
            <v>180.4</v>
          </cell>
          <cell r="D198" t="str">
            <v/>
          </cell>
          <cell r="I198" t="str">
            <v>請求者事業者登録番号発番組織</v>
          </cell>
        </row>
        <row r="199">
          <cell r="B199">
            <v>181</v>
          </cell>
          <cell r="D199" t="str">
            <v>IGR19</v>
          </cell>
          <cell r="I199" t="str">
            <v>インボイス文書決済／請求先グループ</v>
          </cell>
        </row>
        <row r="200">
          <cell r="B200">
            <v>182</v>
          </cell>
          <cell r="D200" t="str">
            <v/>
          </cell>
          <cell r="I200" t="str">
            <v>請求先クラス</v>
          </cell>
        </row>
        <row r="201">
          <cell r="B201">
            <v>183</v>
          </cell>
          <cell r="D201" t="str">
            <v>IID86</v>
          </cell>
          <cell r="I201" t="str">
            <v>請求先ID</v>
          </cell>
        </row>
        <row r="202">
          <cell r="B202">
            <v>184</v>
          </cell>
          <cell r="D202" t="str">
            <v>IID87</v>
          </cell>
          <cell r="I202" t="str">
            <v>請求先国際企業ID</v>
          </cell>
        </row>
        <row r="203">
          <cell r="B203">
            <v>185</v>
          </cell>
          <cell r="D203" t="str">
            <v>IID88</v>
          </cell>
          <cell r="I203" t="str">
            <v>請求先名称</v>
          </cell>
        </row>
        <row r="204">
          <cell r="B204">
            <v>186</v>
          </cell>
          <cell r="D204" t="str">
            <v>IGR20</v>
          </cell>
          <cell r="I204" t="str">
            <v>請求先／連絡先グループ</v>
          </cell>
        </row>
        <row r="205">
          <cell r="B205">
            <v>187</v>
          </cell>
          <cell r="D205" t="str">
            <v/>
          </cell>
          <cell r="I205" t="str">
            <v>請求先連絡先クラス</v>
          </cell>
        </row>
        <row r="206">
          <cell r="B206">
            <v>188</v>
          </cell>
          <cell r="D206" t="str">
            <v>IID89</v>
          </cell>
          <cell r="I206" t="str">
            <v>請求先部門ID</v>
          </cell>
        </row>
        <row r="207">
          <cell r="B207">
            <v>189</v>
          </cell>
          <cell r="D207" t="str">
            <v>IID90</v>
          </cell>
          <cell r="I207" t="str">
            <v>請求先担当名</v>
          </cell>
        </row>
        <row r="208">
          <cell r="B208">
            <v>190</v>
          </cell>
          <cell r="D208" t="str">
            <v>IID91</v>
          </cell>
          <cell r="I208" t="str">
            <v>請求先部門名</v>
          </cell>
        </row>
        <row r="209">
          <cell r="B209">
            <v>191</v>
          </cell>
          <cell r="D209" t="str">
            <v>IID92</v>
          </cell>
          <cell r="I209" t="str">
            <v>請求先担当ID</v>
          </cell>
        </row>
        <row r="210">
          <cell r="B210">
            <v>192</v>
          </cell>
          <cell r="D210" t="str">
            <v/>
          </cell>
          <cell r="I210" t="str">
            <v>連絡先／電話情報グループ</v>
          </cell>
        </row>
        <row r="211">
          <cell r="B211">
            <v>193</v>
          </cell>
          <cell r="D211" t="str">
            <v/>
          </cell>
          <cell r="I211" t="str">
            <v>電話通信クラス</v>
          </cell>
        </row>
        <row r="212">
          <cell r="B212">
            <v>194</v>
          </cell>
          <cell r="D212" t="str">
            <v>IID93</v>
          </cell>
          <cell r="I212" t="str">
            <v>請求先電話番号</v>
          </cell>
        </row>
        <row r="213">
          <cell r="B213">
            <v>195</v>
          </cell>
          <cell r="D213" t="str">
            <v/>
          </cell>
          <cell r="I213" t="str">
            <v>連絡先／FAX情報グループ</v>
          </cell>
        </row>
        <row r="214">
          <cell r="B214">
            <v>196</v>
          </cell>
          <cell r="D214" t="str">
            <v/>
          </cell>
          <cell r="I214" t="str">
            <v>FAX通信クラス</v>
          </cell>
        </row>
        <row r="215">
          <cell r="B215">
            <v>197</v>
          </cell>
          <cell r="D215" t="str">
            <v>IID94</v>
          </cell>
          <cell r="I215" t="str">
            <v>請求先FAX番号</v>
          </cell>
        </row>
        <row r="216">
          <cell r="B216">
            <v>198</v>
          </cell>
          <cell r="D216" t="str">
            <v/>
          </cell>
          <cell r="I216" t="str">
            <v>連絡先／電子メール情報グループ</v>
          </cell>
        </row>
        <row r="217">
          <cell r="B217">
            <v>199</v>
          </cell>
          <cell r="D217" t="str">
            <v/>
          </cell>
          <cell r="I217" t="str">
            <v>電子メール通信クラス</v>
          </cell>
        </row>
        <row r="218">
          <cell r="B218">
            <v>200</v>
          </cell>
          <cell r="D218" t="str">
            <v>IID95</v>
          </cell>
          <cell r="I218" t="str">
            <v>請求先メールアドレス</v>
          </cell>
        </row>
        <row r="219">
          <cell r="B219">
            <v>201</v>
          </cell>
          <cell r="D219" t="str">
            <v>IGR21</v>
          </cell>
          <cell r="I219" t="str">
            <v>請求先／住所グループ</v>
          </cell>
        </row>
        <row r="220">
          <cell r="B220">
            <v>202</v>
          </cell>
          <cell r="D220" t="str">
            <v/>
          </cell>
          <cell r="I220" t="str">
            <v>請求先住所クラス</v>
          </cell>
        </row>
        <row r="221">
          <cell r="B221">
            <v>203</v>
          </cell>
          <cell r="D221" t="str">
            <v>IID96</v>
          </cell>
          <cell r="I221" t="str">
            <v>請求先郵便番号</v>
          </cell>
        </row>
        <row r="222">
          <cell r="B222">
            <v>204</v>
          </cell>
          <cell r="D222" t="str">
            <v>IID97</v>
          </cell>
          <cell r="I222" t="str">
            <v>請求先住所1</v>
          </cell>
        </row>
        <row r="223">
          <cell r="B223">
            <v>205</v>
          </cell>
          <cell r="D223" t="str">
            <v>IID98</v>
          </cell>
          <cell r="I223" t="str">
            <v>請求先住所2</v>
          </cell>
        </row>
        <row r="224">
          <cell r="B224">
            <v>206</v>
          </cell>
          <cell r="D224" t="str">
            <v>IID99</v>
          </cell>
          <cell r="I224" t="str">
            <v>請求先住所3</v>
          </cell>
        </row>
        <row r="225">
          <cell r="B225">
            <v>207</v>
          </cell>
          <cell r="D225" t="str">
            <v>IID100</v>
          </cell>
          <cell r="I225" t="str">
            <v>請求先国ID</v>
          </cell>
        </row>
        <row r="226">
          <cell r="B226">
            <v>208</v>
          </cell>
          <cell r="D226" t="str">
            <v>IGR22</v>
          </cell>
          <cell r="I226" t="str">
            <v>請求先／国際アドレスグループ</v>
          </cell>
        </row>
        <row r="227">
          <cell r="B227">
            <v>209</v>
          </cell>
          <cell r="D227" t="str">
            <v/>
          </cell>
          <cell r="I227" t="str">
            <v>国際アドレスクラス</v>
          </cell>
        </row>
        <row r="228">
          <cell r="B228">
            <v>210</v>
          </cell>
          <cell r="D228" t="str">
            <v>IID101</v>
          </cell>
          <cell r="I228" t="str">
            <v>請求先者国際アドレスID</v>
          </cell>
        </row>
        <row r="229">
          <cell r="B229">
            <v>211</v>
          </cell>
          <cell r="D229" t="str">
            <v>IID102</v>
          </cell>
          <cell r="I229" t="str">
            <v>請求先国際アドレス登録機関ID</v>
          </cell>
        </row>
        <row r="230">
          <cell r="B230">
            <v>212</v>
          </cell>
          <cell r="D230" t="str">
            <v>IGR23</v>
          </cell>
          <cell r="I230" t="str">
            <v>インボイス文書決済／支払先グループ</v>
          </cell>
          <cell r="AL230" t="str">
            <v>IBG-10</v>
          </cell>
        </row>
        <row r="231">
          <cell r="B231">
            <v>213</v>
          </cell>
          <cell r="D231" t="str">
            <v/>
          </cell>
          <cell r="I231" t="str">
            <v>支払先クラス</v>
          </cell>
        </row>
        <row r="232">
          <cell r="B232">
            <v>214</v>
          </cell>
          <cell r="D232" t="str">
            <v>IID103</v>
          </cell>
          <cell r="I232" t="str">
            <v>支払先ID</v>
          </cell>
          <cell r="AL232" t="str">
            <v>IBT-060</v>
          </cell>
        </row>
        <row r="233">
          <cell r="B233">
            <v>215</v>
          </cell>
          <cell r="D233" t="str">
            <v>IID104</v>
          </cell>
          <cell r="I233" t="str">
            <v>支払先国際企業ID</v>
          </cell>
          <cell r="AL233" t="str">
            <v>IBT-061</v>
          </cell>
        </row>
        <row r="234">
          <cell r="B234">
            <v>216</v>
          </cell>
          <cell r="D234" t="str">
            <v>IID105</v>
          </cell>
          <cell r="I234" t="str">
            <v>支払先名称</v>
          </cell>
          <cell r="AL234" t="str">
            <v>IBT-059</v>
          </cell>
        </row>
        <row r="235">
          <cell r="B235">
            <v>217</v>
          </cell>
          <cell r="D235" t="str">
            <v>IGR24</v>
          </cell>
          <cell r="I235" t="str">
            <v>支払先／連絡先グループ</v>
          </cell>
        </row>
        <row r="236">
          <cell r="B236">
            <v>218</v>
          </cell>
          <cell r="D236" t="str">
            <v/>
          </cell>
          <cell r="I236" t="str">
            <v>支払先連絡先クラス</v>
          </cell>
        </row>
        <row r="237">
          <cell r="B237">
            <v>219</v>
          </cell>
          <cell r="D237" t="str">
            <v>IID106</v>
          </cell>
          <cell r="I237" t="str">
            <v>支払先部門ID</v>
          </cell>
        </row>
        <row r="238">
          <cell r="B238">
            <v>220</v>
          </cell>
          <cell r="D238" t="str">
            <v>IID107</v>
          </cell>
          <cell r="I238" t="str">
            <v>支払先担当名</v>
          </cell>
        </row>
        <row r="239">
          <cell r="B239">
            <v>221</v>
          </cell>
          <cell r="D239" t="str">
            <v>IID108</v>
          </cell>
          <cell r="I239" t="str">
            <v>支払先部門名</v>
          </cell>
        </row>
        <row r="240">
          <cell r="B240">
            <v>222</v>
          </cell>
          <cell r="D240" t="str">
            <v>IID109</v>
          </cell>
          <cell r="I240" t="str">
            <v>支払先担当ID</v>
          </cell>
        </row>
        <row r="241">
          <cell r="B241">
            <v>223</v>
          </cell>
          <cell r="D241" t="str">
            <v/>
          </cell>
          <cell r="I241" t="str">
            <v>連絡先／電話情報グループ</v>
          </cell>
        </row>
        <row r="242">
          <cell r="B242">
            <v>224</v>
          </cell>
          <cell r="D242" t="str">
            <v/>
          </cell>
          <cell r="I242" t="str">
            <v>電話通信クラス</v>
          </cell>
        </row>
        <row r="243">
          <cell r="B243">
            <v>225</v>
          </cell>
          <cell r="D243" t="str">
            <v>IID110</v>
          </cell>
          <cell r="I243" t="str">
            <v>支払先電話番号</v>
          </cell>
        </row>
        <row r="244">
          <cell r="B244">
            <v>226</v>
          </cell>
          <cell r="D244" t="str">
            <v/>
          </cell>
          <cell r="I244" t="str">
            <v>連絡先／FAX情報グループ</v>
          </cell>
        </row>
        <row r="245">
          <cell r="B245">
            <v>227</v>
          </cell>
          <cell r="D245" t="str">
            <v/>
          </cell>
          <cell r="I245" t="str">
            <v>FAX通信クラス</v>
          </cell>
        </row>
        <row r="246">
          <cell r="B246">
            <v>228</v>
          </cell>
          <cell r="D246" t="str">
            <v>IID111</v>
          </cell>
          <cell r="I246" t="str">
            <v>支払先FAX番号</v>
          </cell>
        </row>
        <row r="247">
          <cell r="B247">
            <v>229</v>
          </cell>
          <cell r="D247" t="str">
            <v/>
          </cell>
          <cell r="I247" t="str">
            <v>連絡先／電子メール情報グループ</v>
          </cell>
        </row>
        <row r="248">
          <cell r="B248">
            <v>230</v>
          </cell>
          <cell r="D248" t="str">
            <v/>
          </cell>
          <cell r="I248" t="str">
            <v>電子メール通信クラス</v>
          </cell>
        </row>
        <row r="249">
          <cell r="B249">
            <v>231</v>
          </cell>
          <cell r="D249" t="str">
            <v>IID112</v>
          </cell>
          <cell r="I249" t="str">
            <v>支払先メールアドレス</v>
          </cell>
        </row>
        <row r="250">
          <cell r="B250">
            <v>232</v>
          </cell>
          <cell r="D250" t="str">
            <v>IGR25</v>
          </cell>
          <cell r="I250" t="str">
            <v>支払先／住所グループ</v>
          </cell>
        </row>
        <row r="251">
          <cell r="B251">
            <v>233</v>
          </cell>
          <cell r="D251" t="str">
            <v/>
          </cell>
          <cell r="I251" t="str">
            <v>支払先住所クラス</v>
          </cell>
        </row>
        <row r="252">
          <cell r="B252">
            <v>234</v>
          </cell>
          <cell r="D252" t="str">
            <v>IID113</v>
          </cell>
          <cell r="I252" t="str">
            <v>支払先郵便番号</v>
          </cell>
        </row>
        <row r="253">
          <cell r="B253">
            <v>235</v>
          </cell>
          <cell r="D253" t="str">
            <v>IID114</v>
          </cell>
          <cell r="I253" t="str">
            <v>支払先住所1</v>
          </cell>
        </row>
        <row r="254">
          <cell r="B254">
            <v>236</v>
          </cell>
          <cell r="D254" t="str">
            <v>IID115</v>
          </cell>
          <cell r="I254" t="str">
            <v>支払先住所2</v>
          </cell>
        </row>
        <row r="255">
          <cell r="B255">
            <v>237</v>
          </cell>
          <cell r="D255" t="str">
            <v>IID116</v>
          </cell>
          <cell r="I255" t="str">
            <v>支払先住所3</v>
          </cell>
        </row>
        <row r="256">
          <cell r="B256">
            <v>238</v>
          </cell>
          <cell r="D256" t="str">
            <v>IID117</v>
          </cell>
          <cell r="I256" t="str">
            <v>支払先国ID</v>
          </cell>
        </row>
        <row r="257">
          <cell r="B257">
            <v>239</v>
          </cell>
          <cell r="D257" t="str">
            <v>IGR22</v>
          </cell>
          <cell r="I257" t="str">
            <v>支払先／国際アドレスグループ</v>
          </cell>
        </row>
        <row r="258">
          <cell r="B258">
            <v>240</v>
          </cell>
          <cell r="D258" t="str">
            <v/>
          </cell>
          <cell r="I258" t="str">
            <v>国際アドレスクラス</v>
          </cell>
        </row>
        <row r="259">
          <cell r="B259">
            <v>241</v>
          </cell>
          <cell r="D259" t="str">
            <v>IID466</v>
          </cell>
          <cell r="I259" t="str">
            <v>支払先者国際アドレスID</v>
          </cell>
        </row>
        <row r="260">
          <cell r="B260">
            <v>242</v>
          </cell>
          <cell r="D260" t="str">
            <v>IID467</v>
          </cell>
          <cell r="I260" t="str">
            <v>支払先国際アドレス登録機関ID</v>
          </cell>
        </row>
        <row r="261">
          <cell r="B261">
            <v>243</v>
          </cell>
          <cell r="D261" t="str">
            <v>IGR26</v>
          </cell>
          <cell r="I261" t="str">
            <v>インボイス文書決済／支払人グループ</v>
          </cell>
        </row>
        <row r="262">
          <cell r="B262">
            <v>244</v>
          </cell>
          <cell r="D262" t="str">
            <v/>
          </cell>
          <cell r="I262" t="str">
            <v>支払人クラス</v>
          </cell>
        </row>
        <row r="263">
          <cell r="B263">
            <v>245</v>
          </cell>
          <cell r="D263" t="str">
            <v>IID118</v>
          </cell>
          <cell r="I263" t="str">
            <v>支払人ID</v>
          </cell>
        </row>
        <row r="264">
          <cell r="B264">
            <v>246</v>
          </cell>
          <cell r="D264" t="str">
            <v>IID119</v>
          </cell>
          <cell r="I264" t="str">
            <v>支払人国際企業ID</v>
          </cell>
        </row>
        <row r="265">
          <cell r="B265">
            <v>247</v>
          </cell>
          <cell r="D265" t="str">
            <v>IID120</v>
          </cell>
          <cell r="I265" t="str">
            <v>支払人名称</v>
          </cell>
        </row>
        <row r="266">
          <cell r="B266">
            <v>248</v>
          </cell>
          <cell r="D266" t="str">
            <v>IGR27</v>
          </cell>
          <cell r="I266" t="str">
            <v>支払人／連絡先グループ</v>
          </cell>
        </row>
        <row r="267">
          <cell r="B267">
            <v>249</v>
          </cell>
          <cell r="D267" t="str">
            <v/>
          </cell>
          <cell r="I267" t="str">
            <v>支払人連絡先クラス</v>
          </cell>
        </row>
        <row r="268">
          <cell r="B268">
            <v>250</v>
          </cell>
          <cell r="D268" t="str">
            <v>IID121</v>
          </cell>
          <cell r="I268" t="str">
            <v>支払人部門ID</v>
          </cell>
        </row>
        <row r="269">
          <cell r="B269">
            <v>251</v>
          </cell>
          <cell r="D269" t="str">
            <v>IID122</v>
          </cell>
          <cell r="I269" t="str">
            <v>支払人担当名</v>
          </cell>
        </row>
        <row r="270">
          <cell r="B270">
            <v>252</v>
          </cell>
          <cell r="D270" t="str">
            <v>IID123</v>
          </cell>
          <cell r="I270" t="str">
            <v>支払人部門名</v>
          </cell>
        </row>
        <row r="271">
          <cell r="B271">
            <v>253</v>
          </cell>
          <cell r="D271" t="str">
            <v>IID124</v>
          </cell>
          <cell r="I271" t="str">
            <v>支払人担当ID</v>
          </cell>
        </row>
        <row r="272">
          <cell r="B272">
            <v>254</v>
          </cell>
          <cell r="D272" t="str">
            <v/>
          </cell>
          <cell r="I272" t="str">
            <v>連絡先／電話情報グループ</v>
          </cell>
        </row>
        <row r="273">
          <cell r="B273">
            <v>255</v>
          </cell>
          <cell r="D273" t="str">
            <v/>
          </cell>
          <cell r="I273" t="str">
            <v>電話通信クラス</v>
          </cell>
        </row>
        <row r="274">
          <cell r="B274">
            <v>256</v>
          </cell>
          <cell r="D274" t="str">
            <v>IID125</v>
          </cell>
          <cell r="I274" t="str">
            <v>支払人電話番号</v>
          </cell>
        </row>
        <row r="275">
          <cell r="B275">
            <v>257</v>
          </cell>
          <cell r="D275" t="str">
            <v/>
          </cell>
          <cell r="I275" t="str">
            <v>連絡先／FAX情報グループ</v>
          </cell>
        </row>
        <row r="276">
          <cell r="B276">
            <v>258</v>
          </cell>
          <cell r="D276" t="str">
            <v/>
          </cell>
          <cell r="I276" t="str">
            <v>FAX通信クラス</v>
          </cell>
        </row>
        <row r="277">
          <cell r="B277">
            <v>259</v>
          </cell>
          <cell r="D277" t="str">
            <v>IID126</v>
          </cell>
          <cell r="I277" t="str">
            <v>支払人FAX番号</v>
          </cell>
        </row>
        <row r="278">
          <cell r="B278">
            <v>260</v>
          </cell>
          <cell r="D278" t="str">
            <v/>
          </cell>
          <cell r="I278" t="str">
            <v>連絡先／電子メール情報グループ</v>
          </cell>
        </row>
        <row r="279">
          <cell r="B279">
            <v>261</v>
          </cell>
          <cell r="D279" t="str">
            <v/>
          </cell>
          <cell r="I279" t="str">
            <v>電子メール通信クラス</v>
          </cell>
        </row>
        <row r="280">
          <cell r="B280">
            <v>262</v>
          </cell>
          <cell r="D280" t="str">
            <v>IID127</v>
          </cell>
          <cell r="I280" t="str">
            <v>支払人メールアドレス</v>
          </cell>
        </row>
        <row r="281">
          <cell r="B281">
            <v>263</v>
          </cell>
          <cell r="D281" t="str">
            <v>IGR28</v>
          </cell>
          <cell r="I281" t="str">
            <v>支払人／住所グループ</v>
          </cell>
        </row>
        <row r="282">
          <cell r="B282">
            <v>264</v>
          </cell>
          <cell r="D282" t="str">
            <v/>
          </cell>
          <cell r="I282" t="str">
            <v>支払人住所クラス</v>
          </cell>
        </row>
        <row r="283">
          <cell r="B283">
            <v>265</v>
          </cell>
          <cell r="D283" t="str">
            <v>IID128</v>
          </cell>
          <cell r="I283" t="str">
            <v>支払人郵便番号</v>
          </cell>
        </row>
        <row r="284">
          <cell r="B284">
            <v>266</v>
          </cell>
          <cell r="D284" t="str">
            <v>IID129</v>
          </cell>
          <cell r="I284" t="str">
            <v>支払人住所1</v>
          </cell>
        </row>
        <row r="285">
          <cell r="B285">
            <v>267</v>
          </cell>
          <cell r="D285" t="str">
            <v>IID130</v>
          </cell>
          <cell r="I285" t="str">
            <v>支払人住所2</v>
          </cell>
        </row>
        <row r="286">
          <cell r="B286">
            <v>268</v>
          </cell>
          <cell r="D286" t="str">
            <v>IID131</v>
          </cell>
          <cell r="I286" t="str">
            <v>支払人住所3</v>
          </cell>
        </row>
        <row r="287">
          <cell r="B287">
            <v>269</v>
          </cell>
          <cell r="D287" t="str">
            <v>IID132</v>
          </cell>
          <cell r="I287" t="str">
            <v>支払人国ID</v>
          </cell>
        </row>
        <row r="288">
          <cell r="B288">
            <v>270</v>
          </cell>
          <cell r="D288" t="str">
            <v>IGR22</v>
          </cell>
          <cell r="I288" t="str">
            <v>支払人／国際アドレスグループ</v>
          </cell>
        </row>
        <row r="289">
          <cell r="B289">
            <v>271</v>
          </cell>
          <cell r="D289" t="str">
            <v/>
          </cell>
          <cell r="I289" t="str">
            <v>国際アドレスクラス</v>
          </cell>
        </row>
        <row r="290">
          <cell r="B290">
            <v>272</v>
          </cell>
          <cell r="D290" t="str">
            <v>IID468</v>
          </cell>
          <cell r="I290" t="str">
            <v>支払人者国際アドレスID</v>
          </cell>
        </row>
        <row r="291">
          <cell r="B291">
            <v>273</v>
          </cell>
          <cell r="D291" t="str">
            <v>IID469</v>
          </cell>
          <cell r="I291" t="str">
            <v>支払人国際アドレス登録機関ID</v>
          </cell>
        </row>
        <row r="292">
          <cell r="B292">
            <v>274</v>
          </cell>
          <cell r="D292" t="str">
            <v>SIGR29</v>
          </cell>
          <cell r="I292" t="str">
            <v>インボイス文書決済／請求為替グループ</v>
          </cell>
        </row>
        <row r="293">
          <cell r="B293">
            <v>275</v>
          </cell>
          <cell r="D293" t="str">
            <v/>
          </cell>
          <cell r="I293" t="str">
            <v>請求為替クラス</v>
          </cell>
        </row>
        <row r="294">
          <cell r="B294">
            <v>276</v>
          </cell>
          <cell r="D294" t="str">
            <v>IID133</v>
          </cell>
          <cell r="I294" t="str">
            <v>請求為替交換元通貨コード</v>
          </cell>
        </row>
        <row r="295">
          <cell r="B295">
            <v>277</v>
          </cell>
          <cell r="D295" t="str">
            <v>IID134</v>
          </cell>
          <cell r="I295" t="str">
            <v>請求為替交換先通貨コード</v>
          </cell>
        </row>
        <row r="296">
          <cell r="B296">
            <v>278</v>
          </cell>
          <cell r="D296" t="str">
            <v>IID135</v>
          </cell>
          <cell r="I296" t="str">
            <v>請求為替レート</v>
          </cell>
        </row>
        <row r="297">
          <cell r="B297">
            <v>279</v>
          </cell>
          <cell r="D297" t="str">
            <v>IID136</v>
          </cell>
          <cell r="I297" t="str">
            <v>請求為替レート日時</v>
          </cell>
        </row>
        <row r="298">
          <cell r="B298">
            <v>280</v>
          </cell>
          <cell r="D298" t="str">
            <v>SIGR30</v>
          </cell>
          <cell r="I298" t="str">
            <v>インボイス文書決済／支払為替グループ</v>
          </cell>
        </row>
        <row r="299">
          <cell r="B299">
            <v>281</v>
          </cell>
          <cell r="D299" t="str">
            <v/>
          </cell>
          <cell r="I299" t="str">
            <v>支払為替クラス</v>
          </cell>
        </row>
        <row r="300">
          <cell r="B300">
            <v>282</v>
          </cell>
          <cell r="D300" t="str">
            <v>IID133</v>
          </cell>
          <cell r="I300" t="str">
            <v>請求為替交換元通貨コード</v>
          </cell>
        </row>
        <row r="301">
          <cell r="B301">
            <v>283</v>
          </cell>
          <cell r="D301" t="str">
            <v>IID138</v>
          </cell>
          <cell r="I301" t="str">
            <v>支払為替交換先通貨コード</v>
          </cell>
        </row>
        <row r="302">
          <cell r="B302">
            <v>284</v>
          </cell>
          <cell r="D302" t="str">
            <v>IID139</v>
          </cell>
          <cell r="I302" t="str">
            <v>支払為替レート</v>
          </cell>
        </row>
        <row r="303">
          <cell r="B303">
            <v>285</v>
          </cell>
          <cell r="D303" t="str">
            <v>IID140</v>
          </cell>
          <cell r="I303" t="str">
            <v>支払為替レート日時</v>
          </cell>
        </row>
        <row r="304">
          <cell r="B304">
            <v>286</v>
          </cell>
          <cell r="D304" t="str">
            <v>IGR31</v>
          </cell>
          <cell r="I304" t="str">
            <v>インボイス文書決済／支払手段グループ</v>
          </cell>
          <cell r="AL304" t="str">
            <v>IBG-16</v>
          </cell>
        </row>
        <row r="305">
          <cell r="B305">
            <v>287</v>
          </cell>
          <cell r="D305" t="str">
            <v/>
          </cell>
          <cell r="I305" t="str">
            <v>支払手段クラス</v>
          </cell>
        </row>
        <row r="306">
          <cell r="B306">
            <v>288</v>
          </cell>
          <cell r="D306" t="str">
            <v>IID141</v>
          </cell>
          <cell r="I306" t="str">
            <v>支払手段タイプコード</v>
          </cell>
          <cell r="AL306" t="str">
            <v>IBT-081</v>
          </cell>
        </row>
        <row r="307">
          <cell r="B307">
            <v>289</v>
          </cell>
          <cell r="D307" t="str">
            <v>IID142</v>
          </cell>
          <cell r="I307" t="str">
            <v>支払手段情報</v>
          </cell>
          <cell r="AL307" t="str">
            <v>IBT-082</v>
          </cell>
        </row>
        <row r="308">
          <cell r="B308">
            <v>290</v>
          </cell>
          <cell r="D308" t="str">
            <v>IID143</v>
          </cell>
          <cell r="I308" t="str">
            <v>支払金額</v>
          </cell>
        </row>
        <row r="309">
          <cell r="B309">
            <v>291</v>
          </cell>
          <cell r="D309" t="str">
            <v>IGR32</v>
          </cell>
          <cell r="I309" t="str">
            <v>支払手段／金融口座グループ</v>
          </cell>
          <cell r="AL309" t="str">
            <v>IBG-17</v>
          </cell>
        </row>
        <row r="310">
          <cell r="B310">
            <v>292</v>
          </cell>
          <cell r="D310" t="str">
            <v/>
          </cell>
          <cell r="I310" t="str">
            <v>金融口座クラス</v>
          </cell>
        </row>
        <row r="311">
          <cell r="B311">
            <v>293</v>
          </cell>
          <cell r="D311" t="str">
            <v>IID144</v>
          </cell>
          <cell r="I311" t="str">
            <v>口座名義</v>
          </cell>
          <cell r="AL311" t="str">
            <v>IBT-085</v>
          </cell>
        </row>
        <row r="312">
          <cell r="B312">
            <v>294</v>
          </cell>
          <cell r="D312" t="str">
            <v>IID145</v>
          </cell>
          <cell r="I312" t="str">
            <v>口座番号</v>
          </cell>
          <cell r="AL312" t="str">
            <v>IBT-084</v>
          </cell>
        </row>
        <row r="313">
          <cell r="B313">
            <v>295</v>
          </cell>
          <cell r="D313" t="str">
            <v>IID146</v>
          </cell>
          <cell r="I313" t="str">
            <v>口座種別コード</v>
          </cell>
        </row>
        <row r="314">
          <cell r="B314">
            <v>296</v>
          </cell>
          <cell r="D314" t="str">
            <v>IGR33</v>
          </cell>
          <cell r="I314" t="str">
            <v>支払手段／金融機関グループ</v>
          </cell>
        </row>
        <row r="315">
          <cell r="B315">
            <v>297</v>
          </cell>
          <cell r="D315" t="str">
            <v/>
          </cell>
          <cell r="I315" t="str">
            <v>金融機関クラス</v>
          </cell>
        </row>
        <row r="316">
          <cell r="B316">
            <v>298</v>
          </cell>
          <cell r="D316" t="str">
            <v>IID147</v>
          </cell>
          <cell r="I316" t="str">
            <v>金融機関名</v>
          </cell>
        </row>
        <row r="317">
          <cell r="B317">
            <v>299</v>
          </cell>
          <cell r="D317" t="str">
            <v>IID148</v>
          </cell>
          <cell r="I317" t="str">
            <v>金融機関番号</v>
          </cell>
        </row>
        <row r="318">
          <cell r="B318">
            <v>300</v>
          </cell>
          <cell r="D318" t="str">
            <v>IGR34</v>
          </cell>
          <cell r="I318" t="str">
            <v>金融機関／金融機関支店グループ</v>
          </cell>
        </row>
        <row r="319">
          <cell r="B319">
            <v>301</v>
          </cell>
          <cell r="D319" t="str">
            <v/>
          </cell>
          <cell r="I319" t="str">
            <v>金融機関支店クラス</v>
          </cell>
        </row>
        <row r="320">
          <cell r="B320">
            <v>302</v>
          </cell>
          <cell r="D320" t="str">
            <v>IID149</v>
          </cell>
          <cell r="I320" t="str">
            <v>金融機関支店番号</v>
          </cell>
        </row>
        <row r="321">
          <cell r="B321">
            <v>303</v>
          </cell>
          <cell r="D321" t="str">
            <v>IID150</v>
          </cell>
          <cell r="I321" t="str">
            <v>金融機関支店名</v>
          </cell>
        </row>
        <row r="322">
          <cell r="B322">
            <v>304</v>
          </cell>
          <cell r="D322" t="str">
            <v>SIGR35</v>
          </cell>
          <cell r="I322" t="str">
            <v>支払手段／金融カードグループ</v>
          </cell>
          <cell r="AL322" t="str">
            <v>IBG-18</v>
          </cell>
        </row>
        <row r="323">
          <cell r="B323">
            <v>305</v>
          </cell>
          <cell r="D323" t="str">
            <v/>
          </cell>
          <cell r="I323" t="str">
            <v>金融カードクラス</v>
          </cell>
        </row>
        <row r="324">
          <cell r="B324">
            <v>306</v>
          </cell>
          <cell r="D324" t="str">
            <v>SIID151</v>
          </cell>
          <cell r="I324" t="str">
            <v>金融カード番号</v>
          </cell>
          <cell r="AL324" t="str">
            <v>IBT-087</v>
          </cell>
        </row>
        <row r="325">
          <cell r="B325">
            <v>307</v>
          </cell>
          <cell r="D325" t="str">
            <v>SIID152</v>
          </cell>
          <cell r="I325" t="str">
            <v>金融カードタイプ</v>
          </cell>
        </row>
        <row r="326">
          <cell r="B326">
            <v>308</v>
          </cell>
          <cell r="D326" t="str">
            <v>SIID153</v>
          </cell>
          <cell r="I326" t="str">
            <v>金融カード名義人名</v>
          </cell>
          <cell r="AL326" t="str">
            <v>IBT-088</v>
          </cell>
        </row>
        <row r="327">
          <cell r="B327">
            <v>309</v>
          </cell>
          <cell r="D327" t="str">
            <v>SIID154</v>
          </cell>
          <cell r="I327" t="str">
            <v>金融カード発行企業名</v>
          </cell>
        </row>
        <row r="328">
          <cell r="B328">
            <v>310</v>
          </cell>
          <cell r="D328" t="str">
            <v>SIGR36</v>
          </cell>
          <cell r="I328" t="str">
            <v>インボイス文書決済／鑑ヘッダ税グループ</v>
          </cell>
        </row>
        <row r="329">
          <cell r="B329">
            <v>311</v>
          </cell>
          <cell r="D329" t="str">
            <v/>
          </cell>
          <cell r="I329" t="str">
            <v>鑑ヘッダ税クラス</v>
          </cell>
        </row>
        <row r="330">
          <cell r="B330">
            <v>312</v>
          </cell>
          <cell r="D330" t="str">
            <v>SIID155</v>
          </cell>
          <cell r="I330" t="str">
            <v>鑑ヘッダ課税分類税額</v>
          </cell>
        </row>
        <row r="331">
          <cell r="B331">
            <v>312.10000000000002</v>
          </cell>
          <cell r="D331" t="str">
            <v>SIID155.1</v>
          </cell>
          <cell r="I331" t="str">
            <v>鑑ヘッダ税タイプコード</v>
          </cell>
        </row>
        <row r="332">
          <cell r="B332">
            <v>313</v>
          </cell>
          <cell r="D332" t="str">
            <v>SIID156</v>
          </cell>
          <cell r="I332" t="str">
            <v>鑑ヘッダ課税分類コード</v>
          </cell>
        </row>
        <row r="333">
          <cell r="B333">
            <v>314</v>
          </cell>
          <cell r="D333" t="str">
            <v>SIID157</v>
          </cell>
          <cell r="I333" t="str">
            <v>鑑ヘッダ課税分類名</v>
          </cell>
        </row>
        <row r="334">
          <cell r="B334">
            <v>315</v>
          </cell>
          <cell r="D334" t="str">
            <v>SIID158</v>
          </cell>
          <cell r="I334" t="str">
            <v>鑑ヘッダ税率</v>
          </cell>
        </row>
        <row r="335">
          <cell r="B335">
            <v>316</v>
          </cell>
          <cell r="D335" t="str">
            <v>SIID159</v>
          </cell>
          <cell r="I335" t="str">
            <v>鑑ヘッダ税計算方式</v>
          </cell>
        </row>
        <row r="336">
          <cell r="B336">
            <v>317</v>
          </cell>
          <cell r="D336" t="str">
            <v>SIID160</v>
          </cell>
          <cell r="I336" t="str">
            <v>鑑ヘッダ適用税制ID</v>
          </cell>
        </row>
        <row r="337">
          <cell r="B337">
            <v>318</v>
          </cell>
          <cell r="D337" t="str">
            <v>IGR37</v>
          </cell>
          <cell r="I337" t="str">
            <v>インボイス文書決済／鑑ヘッダ取引期間グループ</v>
          </cell>
        </row>
        <row r="338">
          <cell r="B338">
            <v>319</v>
          </cell>
          <cell r="D338" t="str">
            <v/>
          </cell>
          <cell r="I338" t="str">
            <v>鑑ヘッダ取引期間クラス</v>
          </cell>
        </row>
        <row r="339">
          <cell r="B339">
            <v>320</v>
          </cell>
          <cell r="D339" t="str">
            <v>SIID161</v>
          </cell>
          <cell r="I339" t="str">
            <v>鑑ヘッダ取引開始日</v>
          </cell>
        </row>
        <row r="340">
          <cell r="B340">
            <v>321</v>
          </cell>
          <cell r="D340" t="str">
            <v>SIID162</v>
          </cell>
          <cell r="I340" t="str">
            <v>鑑ヘッダ取引終了日</v>
          </cell>
        </row>
        <row r="341">
          <cell r="B341">
            <v>322</v>
          </cell>
          <cell r="D341" t="str">
            <v>IGR38</v>
          </cell>
          <cell r="I341" t="str">
            <v>インボイス文書決済／支払条件グループ</v>
          </cell>
          <cell r="AL341" t="str">
            <v>IBG-33</v>
          </cell>
        </row>
        <row r="342">
          <cell r="B342">
            <v>323</v>
          </cell>
          <cell r="D342" t="str">
            <v/>
          </cell>
          <cell r="I342" t="str">
            <v>支払条件クラス</v>
          </cell>
        </row>
        <row r="343">
          <cell r="B343">
            <v>324</v>
          </cell>
          <cell r="D343" t="str">
            <v>SIID163</v>
          </cell>
          <cell r="I343" t="str">
            <v>支払条件ID</v>
          </cell>
          <cell r="AL343" t="str">
            <v>IBT-187</v>
          </cell>
        </row>
        <row r="344">
          <cell r="B344">
            <v>325</v>
          </cell>
          <cell r="D344" t="str">
            <v>SIID164</v>
          </cell>
          <cell r="I344" t="str">
            <v>支払条件説明</v>
          </cell>
          <cell r="AL344" t="str">
            <v>IBT-020</v>
          </cell>
        </row>
        <row r="345">
          <cell r="B345">
            <v>326</v>
          </cell>
          <cell r="D345" t="str">
            <v>SIID165</v>
          </cell>
          <cell r="I345" t="str">
            <v>支払期日</v>
          </cell>
          <cell r="AL345" t="str">
            <v>IBT-009</v>
          </cell>
        </row>
        <row r="346">
          <cell r="B346">
            <v>327</v>
          </cell>
          <cell r="D346" t="str">
            <v>SIID166</v>
          </cell>
          <cell r="I346" t="str">
            <v>支払条件タイプコード</v>
          </cell>
        </row>
        <row r="347">
          <cell r="B347">
            <v>328</v>
          </cell>
          <cell r="D347" t="str">
            <v>SIID167</v>
          </cell>
          <cell r="I347" t="str">
            <v>支払条件金額</v>
          </cell>
          <cell r="AL347" t="str">
            <v>IBT-176</v>
          </cell>
        </row>
        <row r="348">
          <cell r="B348">
            <v>329</v>
          </cell>
          <cell r="D348" t="str">
            <v>SIGR39</v>
          </cell>
          <cell r="I348" t="str">
            <v>インボイス文書決済／インボイス文書合計金額グループ</v>
          </cell>
        </row>
        <row r="349">
          <cell r="B349">
            <v>330</v>
          </cell>
          <cell r="D349" t="str">
            <v/>
          </cell>
          <cell r="I349" t="str">
            <v>インボイス文書合計金額クラス</v>
          </cell>
        </row>
        <row r="350">
          <cell r="B350">
            <v>331</v>
          </cell>
          <cell r="D350" t="str">
            <v>SIID422</v>
          </cell>
          <cell r="I350" t="str">
            <v>鑑ヘッダ追加請求合計金額（税抜き）</v>
          </cell>
          <cell r="AL350" t="str">
            <v>IBT-108</v>
          </cell>
        </row>
        <row r="351">
          <cell r="B351">
            <v>332</v>
          </cell>
          <cell r="D351" t="str">
            <v>SIID423</v>
          </cell>
          <cell r="I351" t="str">
            <v>鑑ヘッダ返金合計金額（税抜き）</v>
          </cell>
          <cell r="AL351" t="str">
            <v>IBT-107</v>
          </cell>
        </row>
        <row r="352">
          <cell r="D352" t="str">
            <v>SIID423.1</v>
          </cell>
          <cell r="I352" t="str">
            <v>インボイス文書総合計金額（税抜き）</v>
          </cell>
          <cell r="AL352" t="str">
            <v>IBT-109</v>
          </cell>
        </row>
        <row r="353">
          <cell r="B353">
            <v>333</v>
          </cell>
          <cell r="D353" t="str">
            <v>SIID169</v>
          </cell>
          <cell r="I353" t="str">
            <v>鑑ヘッダ消費税総合計額</v>
          </cell>
          <cell r="AL353" t="str">
            <v>IBT-110</v>
          </cell>
        </row>
        <row r="354">
          <cell r="B354">
            <v>333</v>
          </cell>
          <cell r="D354" t="str">
            <v>SIID169</v>
          </cell>
          <cell r="I354" t="str">
            <v>鑑ヘッダ消費税総合計額</v>
          </cell>
          <cell r="AL354" t="str">
            <v>IBT-111</v>
          </cell>
        </row>
        <row r="355">
          <cell r="B355">
            <v>334</v>
          </cell>
          <cell r="D355" t="str">
            <v>SIID170</v>
          </cell>
          <cell r="I355" t="str">
            <v>インボイス文書総合計金額（税込み）</v>
          </cell>
          <cell r="AL355" t="str">
            <v>IBT-112</v>
          </cell>
        </row>
        <row r="356">
          <cell r="B356">
            <v>335</v>
          </cell>
          <cell r="D356" t="str">
            <v>SIID171</v>
          </cell>
          <cell r="I356" t="str">
            <v>前払合計金額</v>
          </cell>
          <cell r="AL356" t="str">
            <v>IBT-113</v>
          </cell>
        </row>
        <row r="357">
          <cell r="B357">
            <v>336</v>
          </cell>
          <cell r="D357" t="str">
            <v>SIID172</v>
          </cell>
          <cell r="I357" t="str">
            <v>支払責務金額総合計</v>
          </cell>
          <cell r="AL357" t="str">
            <v>IBT-115</v>
          </cell>
        </row>
        <row r="358">
          <cell r="B358">
            <v>337</v>
          </cell>
          <cell r="D358" t="str">
            <v>SIID173</v>
          </cell>
          <cell r="I358" t="str">
            <v>鑑ヘッダ譲渡資産合計金額(税抜き)</v>
          </cell>
          <cell r="AL358" t="str">
            <v>IBT-106</v>
          </cell>
        </row>
        <row r="359">
          <cell r="B359">
            <v>338</v>
          </cell>
          <cell r="D359" t="str">
            <v>SIID174</v>
          </cell>
          <cell r="I359" t="str">
            <v>鑑ヘッダ譲渡資産合計金額(税込み)</v>
          </cell>
        </row>
        <row r="360">
          <cell r="B360">
            <v>340</v>
          </cell>
          <cell r="D360" t="str">
            <v>SIGR40</v>
          </cell>
          <cell r="I360" t="str">
            <v>インボイス文書決済／鑑ヘッダ調整グループ
（修正差額調整）</v>
          </cell>
        </row>
        <row r="361">
          <cell r="B361">
            <v>341</v>
          </cell>
          <cell r="D361" t="str">
            <v/>
          </cell>
          <cell r="I361" t="str">
            <v>鑑ヘッダ調整（修正差額調整）クラス</v>
          </cell>
        </row>
        <row r="362">
          <cell r="B362">
            <v>342</v>
          </cell>
          <cell r="D362" t="str">
            <v>SIID175</v>
          </cell>
          <cell r="I362" t="str">
            <v>鑑ヘッダ調整理由コード（修正差額調整）</v>
          </cell>
        </row>
        <row r="363">
          <cell r="B363">
            <v>343</v>
          </cell>
          <cell r="D363" t="str">
            <v>SIID176</v>
          </cell>
          <cell r="I363" t="str">
            <v>鑑ヘッダ調整理由（修正差額調整）</v>
          </cell>
        </row>
        <row r="364">
          <cell r="B364">
            <v>344</v>
          </cell>
          <cell r="D364" t="str">
            <v>SIID177</v>
          </cell>
          <cell r="I364" t="str">
            <v>鑑ヘッダ調整金額（修正差額調整合計額）</v>
          </cell>
        </row>
        <row r="365">
          <cell r="B365">
            <v>345</v>
          </cell>
          <cell r="D365" t="str">
            <v>SIID178</v>
          </cell>
          <cell r="I365" t="str">
            <v>鑑ヘッダ調整取引方向コード</v>
          </cell>
        </row>
        <row r="366">
          <cell r="B366">
            <v>346</v>
          </cell>
          <cell r="D366" t="str">
            <v>SIGR42</v>
          </cell>
          <cell r="I366" t="str">
            <v>鑑ヘッダ調整／調整税グループ</v>
          </cell>
        </row>
        <row r="367">
          <cell r="B367">
            <v>347</v>
          </cell>
          <cell r="D367" t="str">
            <v/>
          </cell>
          <cell r="I367" t="str">
            <v>鑑ヘッダ調整税（修正差額調整）クラス</v>
          </cell>
        </row>
        <row r="368">
          <cell r="B368">
            <v>348</v>
          </cell>
          <cell r="D368" t="str">
            <v>SIID185</v>
          </cell>
          <cell r="I368" t="str">
            <v>鑑ヘッダ調整税率別消費税額（修正差額調整）</v>
          </cell>
        </row>
        <row r="369">
          <cell r="B369">
            <v>348.1</v>
          </cell>
          <cell r="D369" t="str">
            <v>SIID185.1</v>
          </cell>
          <cell r="I369" t="str">
            <v>鑑ヘッダ調整税タイプコード（修正差額調整）</v>
          </cell>
        </row>
        <row r="370">
          <cell r="B370">
            <v>349</v>
          </cell>
          <cell r="D370" t="str">
            <v>SIID186</v>
          </cell>
          <cell r="I370" t="str">
            <v>鑑ヘッダ修正差額調整税率（修正差額調整）</v>
          </cell>
        </row>
        <row r="371">
          <cell r="B371">
            <v>350</v>
          </cell>
          <cell r="D371" t="str">
            <v>SIID407</v>
          </cell>
          <cell r="I371" t="str">
            <v>鑑ヘッダ修正差額調整税率別課税資産合計金額（修正差額調整）</v>
          </cell>
        </row>
        <row r="372">
          <cell r="B372">
            <v>351</v>
          </cell>
          <cell r="D372" t="str">
            <v>SIID187</v>
          </cell>
          <cell r="I372" t="str">
            <v>鑑ヘッダ調整課税分類コード（修正差額調整）</v>
          </cell>
        </row>
        <row r="373">
          <cell r="B373">
            <v>352</v>
          </cell>
          <cell r="D373" t="str">
            <v>SIID424</v>
          </cell>
          <cell r="I373" t="str">
            <v>鑑ヘッダ修正差額調整消費税合計額（修正差額調整）</v>
          </cell>
        </row>
        <row r="374">
          <cell r="B374">
            <v>353</v>
          </cell>
          <cell r="D374" t="str">
            <v>SIGR44</v>
          </cell>
          <cell r="I374" t="str">
            <v>インボイス文書決済／未決済合計金額グループ</v>
          </cell>
        </row>
        <row r="375">
          <cell r="B375">
            <v>354</v>
          </cell>
          <cell r="D375" t="str">
            <v/>
          </cell>
          <cell r="I375" t="str">
            <v>未決済合計金額クラス</v>
          </cell>
        </row>
        <row r="376">
          <cell r="B376">
            <v>355</v>
          </cell>
          <cell r="D376" t="str">
            <v>SIID194</v>
          </cell>
          <cell r="I376" t="str">
            <v>前回インボイス総合計金額（税込み）</v>
          </cell>
        </row>
        <row r="377">
          <cell r="B377">
            <v>356</v>
          </cell>
          <cell r="D377" t="str">
            <v>SIID195</v>
          </cell>
          <cell r="I377" t="str">
            <v>支払済金額（前回インボイス分）</v>
          </cell>
        </row>
        <row r="378">
          <cell r="B378">
            <v>357</v>
          </cell>
          <cell r="D378" t="str">
            <v>SIID196</v>
          </cell>
          <cell r="I378" t="str">
            <v>未決済今回繰越金額</v>
          </cell>
        </row>
        <row r="379">
          <cell r="B379">
            <v>358</v>
          </cell>
          <cell r="D379" t="str">
            <v>SIGR43</v>
          </cell>
          <cell r="I379" t="str">
            <v>インボイス文書決済／前払グループ</v>
          </cell>
          <cell r="AL379" t="str">
            <v>IBG-35</v>
          </cell>
        </row>
        <row r="380">
          <cell r="B380">
            <v>359</v>
          </cell>
          <cell r="D380" t="str">
            <v/>
          </cell>
          <cell r="I380" t="str">
            <v>前払クラス</v>
          </cell>
        </row>
        <row r="381">
          <cell r="B381">
            <v>360</v>
          </cell>
          <cell r="D381" t="str">
            <v>SIID188</v>
          </cell>
          <cell r="I381" t="str">
            <v>前払金額（税込み）</v>
          </cell>
          <cell r="AL381" t="str">
            <v>IBT-180</v>
          </cell>
        </row>
        <row r="382">
          <cell r="B382">
            <v>361</v>
          </cell>
          <cell r="D382" t="str">
            <v>SIID189</v>
          </cell>
          <cell r="I382" t="str">
            <v>前払日</v>
          </cell>
          <cell r="AL382" t="str">
            <v>IBT-181</v>
          </cell>
        </row>
        <row r="383">
          <cell r="B383">
            <v>362</v>
          </cell>
          <cell r="D383" t="str">
            <v>SIID190</v>
          </cell>
          <cell r="I383" t="str">
            <v>前払ID</v>
          </cell>
          <cell r="AL383" t="str">
            <v>IBT-179</v>
          </cell>
        </row>
        <row r="384">
          <cell r="B384">
            <v>363</v>
          </cell>
          <cell r="D384" t="str">
            <v>SIGR95</v>
          </cell>
          <cell r="I384" t="str">
            <v>前払／参照文書グループ</v>
          </cell>
        </row>
        <row r="385">
          <cell r="B385">
            <v>364</v>
          </cell>
          <cell r="D385" t="str">
            <v/>
          </cell>
          <cell r="I385" t="str">
            <v>（前払参照）文書クラス</v>
          </cell>
        </row>
        <row r="386">
          <cell r="B386">
            <v>365</v>
          </cell>
          <cell r="D386" t="str">
            <v>SIID406</v>
          </cell>
          <cell r="I386" t="str">
            <v>（前払参照）文書ID</v>
          </cell>
        </row>
        <row r="387">
          <cell r="B387">
            <v>366</v>
          </cell>
          <cell r="D387" t="str">
            <v>SIGR94</v>
          </cell>
          <cell r="I387" t="str">
            <v>前払／支払条件グループ</v>
          </cell>
        </row>
        <row r="388">
          <cell r="B388">
            <v>367</v>
          </cell>
          <cell r="D388" t="str">
            <v/>
          </cell>
          <cell r="I388" t="str">
            <v>前払支払条件クラス</v>
          </cell>
        </row>
        <row r="389">
          <cell r="B389">
            <v>368</v>
          </cell>
          <cell r="D389" t="str">
            <v>SIID191</v>
          </cell>
          <cell r="I389" t="str">
            <v>前払条件タイプコード</v>
          </cell>
          <cell r="AL389" t="str">
            <v>IBT-182</v>
          </cell>
        </row>
        <row r="390">
          <cell r="B390">
            <v>369</v>
          </cell>
          <cell r="D390" t="str">
            <v/>
          </cell>
          <cell r="I390" t="str">
            <v>インボイス文書取引／明細文書ヘッダグループ</v>
          </cell>
        </row>
        <row r="391">
          <cell r="B391">
            <v>370</v>
          </cell>
          <cell r="D391" t="str">
            <v/>
          </cell>
          <cell r="I391" t="str">
            <v>明細文書ヘッダクラス</v>
          </cell>
        </row>
        <row r="392">
          <cell r="B392">
            <v>371</v>
          </cell>
          <cell r="D392" t="str">
            <v>SIGR46</v>
          </cell>
          <cell r="I392" t="str">
            <v>明細文書ヘッダ／明細文書グループ</v>
          </cell>
        </row>
        <row r="393">
          <cell r="B393">
            <v>372</v>
          </cell>
          <cell r="D393" t="str">
            <v/>
          </cell>
          <cell r="I393" t="str">
            <v>明細文書クラス</v>
          </cell>
        </row>
        <row r="394">
          <cell r="B394">
            <v>376</v>
          </cell>
          <cell r="D394" t="str">
            <v>SIID804</v>
          </cell>
          <cell r="I394" t="str">
            <v>明細文書仕入明細回答理由コード</v>
          </cell>
        </row>
        <row r="395">
          <cell r="B395">
            <v>377</v>
          </cell>
          <cell r="D395" t="str">
            <v>SIID805</v>
          </cell>
          <cell r="I395" t="str">
            <v>明細文書仕入明細回答理由</v>
          </cell>
        </row>
        <row r="396">
          <cell r="B396">
            <v>373</v>
          </cell>
          <cell r="D396" t="str">
            <v>SIID205</v>
          </cell>
          <cell r="I396" t="str">
            <v>明細文書ID</v>
          </cell>
        </row>
        <row r="397">
          <cell r="B397">
            <v>374</v>
          </cell>
          <cell r="D397" t="str">
            <v>SIID206</v>
          </cell>
          <cell r="I397" t="str">
            <v>明細文書類型コード</v>
          </cell>
        </row>
        <row r="398">
          <cell r="B398">
            <v>375</v>
          </cell>
          <cell r="D398" t="str">
            <v>SIID802</v>
          </cell>
          <cell r="I398" t="str">
            <v>明細文書仕入明細回答タイプコード</v>
          </cell>
        </row>
        <row r="399">
          <cell r="B399">
            <v>378</v>
          </cell>
          <cell r="D399" t="str">
            <v>SIGR47</v>
          </cell>
          <cell r="I399" t="str">
            <v>明細文書／注釈グループ</v>
          </cell>
        </row>
        <row r="400">
          <cell r="B400">
            <v>379</v>
          </cell>
          <cell r="D400" t="str">
            <v/>
          </cell>
          <cell r="I400" t="str">
            <v>明細文書注釈クラス</v>
          </cell>
        </row>
        <row r="401">
          <cell r="B401">
            <v>380</v>
          </cell>
          <cell r="D401" t="str">
            <v>SIID207</v>
          </cell>
          <cell r="I401" t="str">
            <v>明細文書ヘッダ注釈表題</v>
          </cell>
        </row>
        <row r="402">
          <cell r="B402">
            <v>381</v>
          </cell>
          <cell r="D402" t="str">
            <v>SIID208</v>
          </cell>
          <cell r="I402" t="str">
            <v>明細文書ヘッダ注釈内容</v>
          </cell>
        </row>
        <row r="403">
          <cell r="B403">
            <v>382</v>
          </cell>
          <cell r="D403" t="str">
            <v>SIID209</v>
          </cell>
          <cell r="I403" t="str">
            <v>明細文書ヘッダ注釈ID</v>
          </cell>
        </row>
        <row r="404">
          <cell r="B404">
            <v>383</v>
          </cell>
          <cell r="D404" t="str">
            <v>SIGR48</v>
          </cell>
          <cell r="I404" t="str">
            <v>明細文書／組込み文書グループ</v>
          </cell>
        </row>
        <row r="405">
          <cell r="B405">
            <v>384</v>
          </cell>
          <cell r="D405" t="str">
            <v/>
          </cell>
          <cell r="I405" t="str">
            <v>明細文書組込み文書クラス</v>
          </cell>
        </row>
        <row r="406">
          <cell r="B406">
            <v>385</v>
          </cell>
          <cell r="D406" t="str">
            <v>SIID210</v>
          </cell>
          <cell r="I406" t="str">
            <v>組込み明細文書ID</v>
          </cell>
        </row>
        <row r="407">
          <cell r="B407">
            <v>386</v>
          </cell>
          <cell r="D407" t="str">
            <v>SIID211</v>
          </cell>
          <cell r="I407" t="str">
            <v>組込み明細文書発行日</v>
          </cell>
        </row>
        <row r="408">
          <cell r="B408">
            <v>387</v>
          </cell>
          <cell r="D408" t="str">
            <v>SIID212</v>
          </cell>
          <cell r="I408" t="str">
            <v>組込み明細文書履歴ID</v>
          </cell>
        </row>
        <row r="409">
          <cell r="B409">
            <v>388</v>
          </cell>
          <cell r="D409" t="str">
            <v>SIID213</v>
          </cell>
          <cell r="I409" t="str">
            <v>組込み明細文書タイプコード</v>
          </cell>
        </row>
        <row r="410">
          <cell r="B410">
            <v>389</v>
          </cell>
          <cell r="D410" t="str">
            <v>SIID214</v>
          </cell>
          <cell r="I410" t="str">
            <v>組込み明細文書サブタイプコード</v>
          </cell>
        </row>
        <row r="411">
          <cell r="B411">
            <v>390</v>
          </cell>
          <cell r="D411" t="str">
            <v/>
          </cell>
          <cell r="I411" t="str">
            <v>明細文書ヘッダ／契約グループ</v>
          </cell>
        </row>
        <row r="412">
          <cell r="B412">
            <v>391</v>
          </cell>
          <cell r="D412" t="str">
            <v/>
          </cell>
          <cell r="I412" t="str">
            <v>明細文書ヘッダ契約クラス</v>
          </cell>
        </row>
        <row r="413">
          <cell r="B413">
            <v>392</v>
          </cell>
          <cell r="D413" t="str">
            <v>SIGR49</v>
          </cell>
          <cell r="I413" t="str">
            <v>明細文書ヘッダ契約／参照受注書グループ</v>
          </cell>
        </row>
        <row r="414">
          <cell r="B414">
            <v>393</v>
          </cell>
          <cell r="D414" t="str">
            <v/>
          </cell>
          <cell r="I414" t="str">
            <v>（明細文書ヘッダ参照）受注書クラス</v>
          </cell>
        </row>
        <row r="415">
          <cell r="B415">
            <v>394</v>
          </cell>
          <cell r="D415" t="str">
            <v>ORID1</v>
          </cell>
          <cell r="I415" t="str">
            <v>（明細文書ヘッダ参照）受注書ID</v>
          </cell>
          <cell r="AL415" t="str">
            <v>IBT-014</v>
          </cell>
        </row>
        <row r="416">
          <cell r="B416">
            <v>395</v>
          </cell>
          <cell r="D416" t="str">
            <v>SIID408</v>
          </cell>
          <cell r="I416" t="str">
            <v>（明細文書ヘッダ参照）文書URL_ID</v>
          </cell>
        </row>
        <row r="417">
          <cell r="B417">
            <v>396</v>
          </cell>
          <cell r="D417" t="str">
            <v>SIID304</v>
          </cell>
          <cell r="I417" t="str">
            <v>（明細文書ヘッダ参照）文書発行日</v>
          </cell>
        </row>
        <row r="418">
          <cell r="B418">
            <v>397</v>
          </cell>
          <cell r="D418" t="str">
            <v>ORID7</v>
          </cell>
          <cell r="I418" t="str">
            <v>（明細文書ヘッダ参照）受注書履歴ID</v>
          </cell>
        </row>
        <row r="419">
          <cell r="B419">
            <v>398</v>
          </cell>
          <cell r="D419" t="str">
            <v>SIGR50</v>
          </cell>
          <cell r="I419" t="str">
            <v>明細文書ヘッダ契約／参照注文書グループ</v>
          </cell>
        </row>
        <row r="420">
          <cell r="B420">
            <v>399</v>
          </cell>
          <cell r="D420" t="str">
            <v/>
          </cell>
          <cell r="I420" t="str">
            <v>（明細文書ヘッダ参照）注文書クラス</v>
          </cell>
        </row>
        <row r="421">
          <cell r="B421">
            <v>400</v>
          </cell>
          <cell r="D421" t="str">
            <v>OID1</v>
          </cell>
          <cell r="I421" t="str">
            <v>（明細文書ヘッダ参照）注文書ID</v>
          </cell>
          <cell r="AL421" t="str">
            <v>IBT-013</v>
          </cell>
        </row>
        <row r="422">
          <cell r="B422">
            <v>401</v>
          </cell>
          <cell r="D422" t="str">
            <v>SIID408</v>
          </cell>
          <cell r="I422" t="str">
            <v>（明細文書ヘッダ参照）文書URL_ID</v>
          </cell>
        </row>
        <row r="423">
          <cell r="B423">
            <v>402</v>
          </cell>
          <cell r="D423" t="str">
            <v>SIID304</v>
          </cell>
          <cell r="I423" t="str">
            <v>（明細文書ヘッダ参照）文書発行日</v>
          </cell>
        </row>
        <row r="424">
          <cell r="B424">
            <v>403</v>
          </cell>
          <cell r="D424" t="str">
            <v>OID7</v>
          </cell>
          <cell r="I424" t="str">
            <v>（明細文書ヘッダ参照）注文書履歴ID</v>
          </cell>
        </row>
        <row r="425">
          <cell r="B425">
            <v>404</v>
          </cell>
          <cell r="D425" t="str">
            <v>IGR51</v>
          </cell>
          <cell r="I425" t="str">
            <v>明細文書ヘッダ契約／参照契約書グループ</v>
          </cell>
        </row>
        <row r="426">
          <cell r="B426">
            <v>405</v>
          </cell>
          <cell r="D426" t="str">
            <v/>
          </cell>
          <cell r="I426" t="str">
            <v>（明細文書ヘッダ参照）契約文書クラス</v>
          </cell>
        </row>
        <row r="427">
          <cell r="B427">
            <v>406</v>
          </cell>
          <cell r="D427" t="str">
            <v>IID219</v>
          </cell>
          <cell r="I427" t="str">
            <v>（明細文書ヘッダ参照）契約文書ID</v>
          </cell>
          <cell r="AL427" t="str">
            <v>IBT-012</v>
          </cell>
        </row>
        <row r="428">
          <cell r="B428">
            <v>407</v>
          </cell>
          <cell r="D428" t="str">
            <v>SIID408</v>
          </cell>
          <cell r="I428" t="str">
            <v>（明細文書ヘッダ参照）文書URL_ID</v>
          </cell>
        </row>
        <row r="429">
          <cell r="B429">
            <v>408</v>
          </cell>
          <cell r="D429" t="str">
            <v>SIID304</v>
          </cell>
          <cell r="I429" t="str">
            <v>（明細文書ヘッダ参照）文書発行日</v>
          </cell>
        </row>
        <row r="430">
          <cell r="B430">
            <v>409</v>
          </cell>
          <cell r="D430" t="str">
            <v>IID220</v>
          </cell>
          <cell r="I430" t="str">
            <v>（明細文書ヘッダ参照）契約書履歴ID</v>
          </cell>
        </row>
        <row r="431">
          <cell r="B431">
            <v>410</v>
          </cell>
          <cell r="D431" t="str">
            <v/>
          </cell>
          <cell r="I431" t="str">
            <v>明細文書ヘッダ／配送グループ</v>
          </cell>
          <cell r="AL431" t="str">
            <v>IBG-13</v>
          </cell>
        </row>
        <row r="432">
          <cell r="B432">
            <v>411</v>
          </cell>
          <cell r="D432" t="str">
            <v/>
          </cell>
          <cell r="I432" t="str">
            <v>明細文書ヘッダ配送クラス</v>
          </cell>
        </row>
        <row r="433">
          <cell r="B433">
            <v>412</v>
          </cell>
          <cell r="D433" t="str">
            <v>IGR52</v>
          </cell>
          <cell r="I433" t="str">
            <v>明細文書ヘッダ配送／納入先グループ</v>
          </cell>
        </row>
        <row r="434">
          <cell r="B434">
            <v>413</v>
          </cell>
          <cell r="D434" t="str">
            <v/>
          </cell>
          <cell r="I434" t="str">
            <v>納入先クラス</v>
          </cell>
        </row>
        <row r="435">
          <cell r="B435">
            <v>414</v>
          </cell>
          <cell r="D435" t="str">
            <v>IID221</v>
          </cell>
          <cell r="I435" t="str">
            <v>納入先ID</v>
          </cell>
        </row>
        <row r="436">
          <cell r="B436">
            <v>415</v>
          </cell>
          <cell r="D436" t="str">
            <v>IID222</v>
          </cell>
          <cell r="I436" t="str">
            <v>納入先国際企業ID</v>
          </cell>
          <cell r="AL436" t="str">
            <v>IBT-071</v>
          </cell>
        </row>
        <row r="437">
          <cell r="B437">
            <v>416</v>
          </cell>
          <cell r="D437" t="str">
            <v>IID223</v>
          </cell>
          <cell r="I437" t="str">
            <v>納入先名称</v>
          </cell>
          <cell r="AL437" t="str">
            <v>IBT-070</v>
          </cell>
        </row>
        <row r="438">
          <cell r="B438">
            <v>417</v>
          </cell>
          <cell r="D438" t="str">
            <v>IGR53</v>
          </cell>
          <cell r="I438" t="str">
            <v>納入先／住所グループ</v>
          </cell>
          <cell r="AL438" t="str">
            <v>IBG-15</v>
          </cell>
        </row>
        <row r="439">
          <cell r="B439">
            <v>418</v>
          </cell>
          <cell r="D439" t="str">
            <v/>
          </cell>
          <cell r="I439" t="str">
            <v>納入先住所クラス</v>
          </cell>
        </row>
        <row r="440">
          <cell r="B440">
            <v>419</v>
          </cell>
          <cell r="D440" t="str">
            <v>IID224</v>
          </cell>
          <cell r="I440" t="str">
            <v>納入先郵便番号</v>
          </cell>
          <cell r="AL440" t="str">
            <v>IBT-078</v>
          </cell>
        </row>
        <row r="441">
          <cell r="B441">
            <v>420</v>
          </cell>
          <cell r="D441" t="str">
            <v>IID225</v>
          </cell>
          <cell r="I441" t="str">
            <v>納入先住所1</v>
          </cell>
          <cell r="AL441" t="str">
            <v>IBT-075</v>
          </cell>
        </row>
        <row r="442">
          <cell r="B442">
            <v>421</v>
          </cell>
          <cell r="D442" t="str">
            <v>IID226</v>
          </cell>
          <cell r="I442" t="str">
            <v>納入先住所2</v>
          </cell>
          <cell r="AL442" t="str">
            <v>IBT-076</v>
          </cell>
        </row>
        <row r="443">
          <cell r="B443">
            <v>422</v>
          </cell>
          <cell r="D443" t="str">
            <v>IID227</v>
          </cell>
          <cell r="I443" t="str">
            <v>納入先住所3</v>
          </cell>
          <cell r="AL443" t="str">
            <v>IBT-165</v>
          </cell>
        </row>
        <row r="444">
          <cell r="B444">
            <v>423</v>
          </cell>
          <cell r="D444" t="str">
            <v>IID228</v>
          </cell>
          <cell r="I444" t="str">
            <v>納入先国ID</v>
          </cell>
          <cell r="AL444" t="str">
            <v>IBT-080</v>
          </cell>
        </row>
        <row r="445">
          <cell r="B445">
            <v>424</v>
          </cell>
          <cell r="D445" t="str">
            <v>IGR54</v>
          </cell>
          <cell r="I445" t="str">
            <v>明細文書ヘッダ出荷／出荷イベントグループ</v>
          </cell>
        </row>
        <row r="446">
          <cell r="B446">
            <v>425</v>
          </cell>
          <cell r="D446" t="str">
            <v/>
          </cell>
          <cell r="I446" t="str">
            <v>イベントクラス</v>
          </cell>
        </row>
        <row r="447">
          <cell r="B447">
            <v>426</v>
          </cell>
          <cell r="D447" t="str">
            <v>IID229</v>
          </cell>
          <cell r="I447" t="str">
            <v>出荷日</v>
          </cell>
          <cell r="AL447" t="str">
            <v>IBT-072</v>
          </cell>
        </row>
        <row r="448">
          <cell r="B448">
            <v>427</v>
          </cell>
          <cell r="D448" t="str">
            <v>SIGR104</v>
          </cell>
          <cell r="I448" t="str">
            <v>明細文書ヘッダ出荷／受領イベントグループ</v>
          </cell>
        </row>
        <row r="449">
          <cell r="B449">
            <v>428</v>
          </cell>
          <cell r="D449" t="str">
            <v/>
          </cell>
          <cell r="I449" t="str">
            <v>イベントクラス</v>
          </cell>
        </row>
        <row r="450">
          <cell r="B450">
            <v>429</v>
          </cell>
          <cell r="D450" t="str">
            <v>SIID494</v>
          </cell>
          <cell r="I450" t="str">
            <v>受領日</v>
          </cell>
        </row>
        <row r="451">
          <cell r="B451">
            <v>430</v>
          </cell>
          <cell r="D451" t="str">
            <v>SIGR55</v>
          </cell>
          <cell r="I451" t="str">
            <v>明細文書ヘッダ配送／参照出荷案内書グループ</v>
          </cell>
        </row>
        <row r="452">
          <cell r="B452">
            <v>431</v>
          </cell>
          <cell r="D452" t="str">
            <v/>
          </cell>
          <cell r="I452" t="str">
            <v>（明細文書ヘッダ参照）出荷案内書クラス</v>
          </cell>
        </row>
        <row r="453">
          <cell r="B453">
            <v>432</v>
          </cell>
          <cell r="D453" t="str">
            <v>DID1</v>
          </cell>
          <cell r="I453" t="str">
            <v>（明細文書ヘッダ参照）出荷案内書ID</v>
          </cell>
          <cell r="AL453" t="str">
            <v>IBT-016</v>
          </cell>
        </row>
        <row r="454">
          <cell r="B454">
            <v>433</v>
          </cell>
          <cell r="D454" t="str">
            <v>SIID408</v>
          </cell>
          <cell r="I454" t="str">
            <v>（明細文書ヘッダ参照）文書URL_ID</v>
          </cell>
        </row>
        <row r="455">
          <cell r="B455">
            <v>434</v>
          </cell>
          <cell r="D455" t="str">
            <v>SIID304</v>
          </cell>
          <cell r="I455" t="str">
            <v>（明細文書ヘッダ参照）文書発行日</v>
          </cell>
        </row>
        <row r="456">
          <cell r="B456">
            <v>435</v>
          </cell>
          <cell r="D456" t="str">
            <v>DID6</v>
          </cell>
          <cell r="I456" t="str">
            <v>（明細文書ヘッダ参照）出荷案内書履歴ID</v>
          </cell>
        </row>
        <row r="457">
          <cell r="B457">
            <v>436</v>
          </cell>
          <cell r="D457" t="str">
            <v>DID3</v>
          </cell>
          <cell r="I457" t="str">
            <v>（明細文書ヘッダ参照）文書タイプコード</v>
          </cell>
        </row>
        <row r="458">
          <cell r="B458">
            <v>437</v>
          </cell>
          <cell r="D458" t="str">
            <v>DID7</v>
          </cell>
          <cell r="I458" t="str">
            <v>（明細文書ヘッダ参照）出荷案内書類型コード</v>
          </cell>
        </row>
        <row r="459">
          <cell r="B459">
            <v>438</v>
          </cell>
          <cell r="D459" t="str">
            <v>DID8</v>
          </cell>
          <cell r="I459" t="str">
            <v>（明細文書ヘッダ参照）文書サブタイプコード</v>
          </cell>
        </row>
        <row r="460">
          <cell r="B460">
            <v>439</v>
          </cell>
          <cell r="D460" t="str">
            <v>SIGR56</v>
          </cell>
          <cell r="I460" t="str">
            <v>明細文書ヘッダ配送／参照出荷回答書グループ</v>
          </cell>
        </row>
        <row r="461">
          <cell r="B461">
            <v>440</v>
          </cell>
          <cell r="D461" t="str">
            <v/>
          </cell>
          <cell r="I461" t="str">
            <v>（明細文書ヘッダ参照）出荷回答書クラス</v>
          </cell>
        </row>
        <row r="462">
          <cell r="B462">
            <v>441</v>
          </cell>
          <cell r="D462" t="str">
            <v>DRID1</v>
          </cell>
          <cell r="I462" t="str">
            <v>（明細文書ヘッダ参照）出荷回答書ID</v>
          </cell>
          <cell r="AL462" t="str">
            <v>IBT-015</v>
          </cell>
        </row>
        <row r="463">
          <cell r="B463">
            <v>442</v>
          </cell>
          <cell r="D463" t="str">
            <v>SIID408</v>
          </cell>
          <cell r="I463" t="str">
            <v>（明細文書ヘッダ参照）文書URL_ID</v>
          </cell>
        </row>
        <row r="464">
          <cell r="B464">
            <v>443</v>
          </cell>
          <cell r="D464" t="str">
            <v>SIID304</v>
          </cell>
          <cell r="I464" t="str">
            <v>（明細文書ヘッダ参照）文書発行日</v>
          </cell>
        </row>
        <row r="465">
          <cell r="B465">
            <v>444</v>
          </cell>
          <cell r="D465" t="str">
            <v>DRID6</v>
          </cell>
          <cell r="I465" t="str">
            <v>（明細文書ヘッダ参照）出荷回答書履歴ID</v>
          </cell>
        </row>
        <row r="466">
          <cell r="B466">
            <v>445</v>
          </cell>
          <cell r="D466" t="str">
            <v>DID3</v>
          </cell>
          <cell r="I466" t="str">
            <v>（明細文書ヘッダ参照）文書タイプコード</v>
          </cell>
        </row>
        <row r="467">
          <cell r="B467">
            <v>446</v>
          </cell>
          <cell r="D467" t="str">
            <v>DID8</v>
          </cell>
          <cell r="I467" t="str">
            <v>（明細文書ヘッダ参照）文書サブタイプコード</v>
          </cell>
        </row>
        <row r="468">
          <cell r="B468">
            <v>447</v>
          </cell>
          <cell r="D468" t="str">
            <v>SIGR57</v>
          </cell>
          <cell r="I468" t="str">
            <v>明細文書ヘッダ／決済グループ</v>
          </cell>
        </row>
        <row r="469">
          <cell r="B469">
            <v>448</v>
          </cell>
          <cell r="D469" t="str">
            <v/>
          </cell>
          <cell r="I469" t="str">
            <v>明細文書ヘッダ決済クラス</v>
          </cell>
        </row>
        <row r="470">
          <cell r="B470">
            <v>449</v>
          </cell>
          <cell r="D470" t="str">
            <v>SIID239</v>
          </cell>
          <cell r="I470" t="str">
            <v>明細文書ヘッダ取引方向コード</v>
          </cell>
        </row>
        <row r="471">
          <cell r="B471">
            <v>476</v>
          </cell>
          <cell r="D471" t="str">
            <v>SIGR58</v>
          </cell>
          <cell r="I471" t="str">
            <v>明細文書ヘッダ決済／明細文書ヘッダ返金グループ</v>
          </cell>
          <cell r="AL471" t="str">
            <v>IBG-20</v>
          </cell>
        </row>
        <row r="472">
          <cell r="B472">
            <v>477</v>
          </cell>
          <cell r="D472" t="str">
            <v/>
          </cell>
          <cell r="I472" t="str">
            <v>明細文書ヘッダ返金クラス</v>
          </cell>
        </row>
        <row r="473">
          <cell r="B473">
            <v>478</v>
          </cell>
          <cell r="D473" t="str">
            <v/>
          </cell>
          <cell r="I473" t="str">
            <v>明細文書ヘッダ返金・追加請求判別子
＝返金（Allowance）</v>
          </cell>
        </row>
        <row r="474">
          <cell r="B474">
            <v>479</v>
          </cell>
          <cell r="D474" t="str">
            <v>SIID241</v>
          </cell>
          <cell r="I474" t="str">
            <v>明細文書ヘッダ返金計算率</v>
          </cell>
          <cell r="AL474" t="str">
            <v>IBT-094</v>
          </cell>
        </row>
        <row r="475">
          <cell r="B475">
            <v>480</v>
          </cell>
          <cell r="D475" t="str">
            <v>SIID242</v>
          </cell>
          <cell r="I475" t="str">
            <v>明細文書ヘッダ返金金額</v>
          </cell>
          <cell r="AL475" t="str">
            <v>IBT-092</v>
          </cell>
        </row>
        <row r="476">
          <cell r="B476">
            <v>481</v>
          </cell>
          <cell r="D476" t="str">
            <v>SIID243</v>
          </cell>
          <cell r="I476" t="str">
            <v>明細文書ヘッダ返金理由コード</v>
          </cell>
          <cell r="AL476" t="str">
            <v>IBT-098</v>
          </cell>
        </row>
        <row r="477">
          <cell r="B477">
            <v>482</v>
          </cell>
          <cell r="D477" t="str">
            <v>SIID244</v>
          </cell>
          <cell r="I477" t="str">
            <v>明細文書ヘッダ返金理由</v>
          </cell>
          <cell r="AL477" t="str">
            <v>IBT-097</v>
          </cell>
        </row>
        <row r="478">
          <cell r="B478">
            <v>483</v>
          </cell>
          <cell r="D478" t="str">
            <v>SIID245</v>
          </cell>
          <cell r="I478" t="str">
            <v>明細文書ヘッダ返金計算根拠金額</v>
          </cell>
          <cell r="AL478" t="str">
            <v>IBT-093</v>
          </cell>
        </row>
        <row r="479">
          <cell r="B479">
            <v>484</v>
          </cell>
          <cell r="D479" t="str">
            <v>SIGR59</v>
          </cell>
          <cell r="I479" t="str">
            <v>明細文書ヘッダ返金／明細文書ヘッダ返金税グループ</v>
          </cell>
        </row>
        <row r="480">
          <cell r="B480">
            <v>485</v>
          </cell>
          <cell r="D480" t="str">
            <v/>
          </cell>
          <cell r="I480" t="str">
            <v>明細文書ヘッダ返金税クラス</v>
          </cell>
        </row>
        <row r="481">
          <cell r="B481">
            <v>485.1</v>
          </cell>
          <cell r="D481" t="str">
            <v>SIID246.1</v>
          </cell>
          <cell r="I481" t="str">
            <v>明細文書ヘッダ返金税タイプコード</v>
          </cell>
        </row>
        <row r="482">
          <cell r="B482">
            <v>486</v>
          </cell>
          <cell r="D482" t="str">
            <v>SIID246</v>
          </cell>
          <cell r="I482" t="str">
            <v>明細文書ヘッダ返金課税分類コード</v>
          </cell>
          <cell r="AL482" t="str">
            <v>IBT-096</v>
          </cell>
        </row>
        <row r="483">
          <cell r="B483">
            <v>487</v>
          </cell>
          <cell r="D483" t="str">
            <v>SIID247</v>
          </cell>
          <cell r="I483" t="str">
            <v>明細文書ヘッダ返金税率</v>
          </cell>
          <cell r="AL483" t="str">
            <v>IBT-095</v>
          </cell>
        </row>
        <row r="484">
          <cell r="B484">
            <v>488</v>
          </cell>
          <cell r="D484" t="str">
            <v>SIGR60</v>
          </cell>
          <cell r="I484" t="str">
            <v>明細文書ヘッダ文書決済／明細文書ヘッダ追加請求グループ</v>
          </cell>
          <cell r="AL484" t="str">
            <v>IBG-21</v>
          </cell>
        </row>
        <row r="485">
          <cell r="B485">
            <v>489</v>
          </cell>
          <cell r="D485" t="str">
            <v/>
          </cell>
          <cell r="I485" t="str">
            <v>明細文書ヘッダ追加請求クラス</v>
          </cell>
        </row>
        <row r="486">
          <cell r="B486">
            <v>490</v>
          </cell>
          <cell r="D486" t="str">
            <v/>
          </cell>
          <cell r="I486" t="str">
            <v>明細文書ヘッダ返金・追加請求判別子
＝追加請求（Charge）</v>
          </cell>
        </row>
        <row r="487">
          <cell r="B487">
            <v>491</v>
          </cell>
          <cell r="D487" t="str">
            <v>SIID249</v>
          </cell>
          <cell r="I487" t="str">
            <v>明細文書ヘッダ追加請求計算率</v>
          </cell>
          <cell r="AL487" t="str">
            <v>IBT-101</v>
          </cell>
        </row>
        <row r="488">
          <cell r="B488">
            <v>492</v>
          </cell>
          <cell r="D488" t="str">
            <v>SIID250</v>
          </cell>
          <cell r="I488" t="str">
            <v>明細文書ヘッダ追加請求金額</v>
          </cell>
          <cell r="AL488" t="str">
            <v>IBT-099</v>
          </cell>
        </row>
        <row r="489">
          <cell r="B489">
            <v>493</v>
          </cell>
          <cell r="D489" t="str">
            <v>SIID251</v>
          </cell>
          <cell r="I489" t="str">
            <v>明細文書ヘッダ追加請求理由コード</v>
          </cell>
          <cell r="AL489" t="str">
            <v>IBT-105</v>
          </cell>
        </row>
        <row r="490">
          <cell r="B490">
            <v>494</v>
          </cell>
          <cell r="D490" t="str">
            <v>SIID252</v>
          </cell>
          <cell r="I490" t="str">
            <v>明細文書ヘッダ追加請求理由</v>
          </cell>
          <cell r="AL490" t="str">
            <v>IBT-104</v>
          </cell>
        </row>
        <row r="491">
          <cell r="B491">
            <v>495</v>
          </cell>
          <cell r="D491" t="str">
            <v>SIID253</v>
          </cell>
          <cell r="I491" t="str">
            <v>明細文書ヘッダ追加請求計算根拠金額</v>
          </cell>
          <cell r="AL491" t="str">
            <v>IBT-100</v>
          </cell>
        </row>
        <row r="492">
          <cell r="B492">
            <v>496</v>
          </cell>
          <cell r="D492" t="str">
            <v>SIGR61</v>
          </cell>
          <cell r="I492" t="str">
            <v>明細文書ヘッダ／明細文書ヘッダ追加請求税グループ</v>
          </cell>
        </row>
        <row r="493">
          <cell r="B493">
            <v>485</v>
          </cell>
          <cell r="D493" t="str">
            <v/>
          </cell>
          <cell r="I493" t="str">
            <v>明細文書ヘッダ追加請求税クラス</v>
          </cell>
        </row>
        <row r="494">
          <cell r="B494">
            <v>485.1</v>
          </cell>
          <cell r="D494" t="str">
            <v>SIID254.1</v>
          </cell>
          <cell r="I494" t="str">
            <v>明細文書ヘッダ追加請求税タイプコード</v>
          </cell>
        </row>
        <row r="495">
          <cell r="B495">
            <v>486</v>
          </cell>
          <cell r="D495" t="str">
            <v>SIID254</v>
          </cell>
          <cell r="I495" t="str">
            <v>明細文書ヘッダ追加請求課税分類コード</v>
          </cell>
          <cell r="AL495" t="str">
            <v>IBT-096</v>
          </cell>
        </row>
        <row r="496">
          <cell r="B496">
            <v>487</v>
          </cell>
          <cell r="D496" t="str">
            <v>SIID255</v>
          </cell>
          <cell r="I496" t="str">
            <v>明細文書ヘッダ追加請求税率</v>
          </cell>
          <cell r="AL496" t="str">
            <v>IBT-095</v>
          </cell>
        </row>
        <row r="497">
          <cell r="B497">
            <v>450</v>
          </cell>
          <cell r="D497" t="str">
            <v>SIGR62</v>
          </cell>
          <cell r="I497" t="str">
            <v>明細文書ヘッダ／明細文書ヘッダ税グループ</v>
          </cell>
          <cell r="AL497" t="str">
            <v>IBG-23</v>
          </cell>
        </row>
        <row r="498">
          <cell r="B498">
            <v>451</v>
          </cell>
          <cell r="D498" t="str">
            <v/>
          </cell>
          <cell r="I498" t="str">
            <v>明細文書ヘッダ税クラス</v>
          </cell>
        </row>
        <row r="499">
          <cell r="B499">
            <v>452</v>
          </cell>
          <cell r="D499" t="str">
            <v>SIID256</v>
          </cell>
          <cell r="I499" t="str">
            <v>明細文書ヘッダ課税分類税額</v>
          </cell>
          <cell r="AL499" t="str">
            <v>IBT-117</v>
          </cell>
        </row>
        <row r="500">
          <cell r="B500">
            <v>453</v>
          </cell>
          <cell r="D500" t="str">
            <v>SIID257</v>
          </cell>
          <cell r="I500" t="str">
            <v>明細文書ヘッダ税タイプコード</v>
          </cell>
        </row>
        <row r="501">
          <cell r="B501">
            <v>454</v>
          </cell>
          <cell r="D501" t="str">
            <v>SIID262</v>
          </cell>
          <cell r="I501" t="str">
            <v>明細文書ヘッダ税率</v>
          </cell>
          <cell r="AL501" t="str">
            <v>IBT-119</v>
          </cell>
        </row>
        <row r="502">
          <cell r="B502">
            <v>455</v>
          </cell>
          <cell r="D502" t="str">
            <v>SIID258</v>
          </cell>
          <cell r="I502" t="str">
            <v>明細文書ヘッダ課税分類課税対象合計金額（税抜き／税込み）</v>
          </cell>
          <cell r="AL502" t="str">
            <v>IBT-116</v>
          </cell>
        </row>
        <row r="503">
          <cell r="B503">
            <v>456</v>
          </cell>
          <cell r="D503" t="str">
            <v>SIID259</v>
          </cell>
          <cell r="I503" t="str">
            <v>明細文書ヘッダ課税分類コード</v>
          </cell>
          <cell r="AL503" t="str">
            <v>IBT-118</v>
          </cell>
        </row>
        <row r="504">
          <cell r="B504">
            <v>457</v>
          </cell>
          <cell r="D504" t="str">
            <v>SIID260</v>
          </cell>
          <cell r="I504" t="str">
            <v>課税分類税通貨コード</v>
          </cell>
        </row>
        <row r="505">
          <cell r="B505">
            <v>458</v>
          </cell>
          <cell r="D505" t="str">
            <v>SIID261</v>
          </cell>
          <cell r="I505" t="str">
            <v>明細文書ヘッダ課税分類名</v>
          </cell>
        </row>
        <row r="506">
          <cell r="B506">
            <v>459</v>
          </cell>
          <cell r="D506" t="str">
            <v>SIID263</v>
          </cell>
          <cell r="I506" t="str">
            <v>明細文書ヘッダ課税分類総合計金額</v>
          </cell>
        </row>
        <row r="507">
          <cell r="B507">
            <v>460</v>
          </cell>
          <cell r="D507" t="str">
            <v>SIID264</v>
          </cell>
          <cell r="I507" t="str">
            <v>明細文書ヘッダ税計算方式</v>
          </cell>
        </row>
        <row r="508">
          <cell r="B508">
            <v>461</v>
          </cell>
          <cell r="D508" t="str">
            <v>SIID265</v>
          </cell>
          <cell r="I508" t="str">
            <v>明細文書ヘッダ適用税制ID</v>
          </cell>
        </row>
        <row r="509">
          <cell r="B509">
            <v>462</v>
          </cell>
          <cell r="D509" t="str">
            <v>SIGR63</v>
          </cell>
          <cell r="I509" t="str">
            <v>明細文書ヘッダ決済／（日本円換算）税グループ</v>
          </cell>
          <cell r="AL509" t="str">
            <v>IBG-38</v>
          </cell>
        </row>
        <row r="510">
          <cell r="B510">
            <v>463</v>
          </cell>
          <cell r="D510" t="str">
            <v/>
          </cell>
          <cell r="I510" t="str">
            <v>（日本円換算）明細文書ヘッダ税クラス</v>
          </cell>
        </row>
        <row r="511">
          <cell r="B511">
            <v>464</v>
          </cell>
          <cell r="D511" t="str">
            <v>SIID266</v>
          </cell>
          <cell r="I511" t="str">
            <v>（日本円換算）明細文書ヘッダ課税分類税額</v>
          </cell>
          <cell r="AL511" t="str">
            <v>IBT-117</v>
          </cell>
        </row>
        <row r="512">
          <cell r="D512" t="str">
            <v>SIID267</v>
          </cell>
          <cell r="I512" t="str">
            <v>（日本円換算）明細文書ヘッダ課税分類譲渡資産合計金額（税抜き）</v>
          </cell>
          <cell r="AL512" t="str">
            <v>IBT-190</v>
          </cell>
        </row>
        <row r="513">
          <cell r="B513">
            <v>465.1</v>
          </cell>
          <cell r="D513" t="str">
            <v/>
          </cell>
          <cell r="I513" t="str">
            <v>（日本円換算）明細文書ヘッダ税タイプコード</v>
          </cell>
        </row>
        <row r="514">
          <cell r="B514">
            <v>466</v>
          </cell>
          <cell r="D514" t="str">
            <v>SIID270</v>
          </cell>
          <cell r="I514" t="str">
            <v>（日本円換算）明細文書ヘッダ税率</v>
          </cell>
          <cell r="AL514" t="str">
            <v>IBT-193</v>
          </cell>
        </row>
        <row r="515">
          <cell r="B515">
            <v>467</v>
          </cell>
          <cell r="D515" t="str">
            <v>SIID267</v>
          </cell>
          <cell r="I515" t="str">
            <v>（日本円換算）明細文書ヘッダ課税分類譲渡資産合計金額（税抜き）</v>
          </cell>
        </row>
        <row r="516">
          <cell r="B516">
            <v>469</v>
          </cell>
          <cell r="D516" t="str">
            <v>SIID268</v>
          </cell>
          <cell r="I516" t="str">
            <v>（日本円換算）明細文書ヘッダ課税分類コード</v>
          </cell>
          <cell r="AL516" t="str">
            <v>IBT-192</v>
          </cell>
        </row>
        <row r="517">
          <cell r="B517">
            <v>470</v>
          </cell>
          <cell r="D517" t="str">
            <v>SIID269</v>
          </cell>
          <cell r="I517" t="str">
            <v>（日本円換算）課税分類税通貨コード</v>
          </cell>
        </row>
        <row r="518">
          <cell r="B518">
            <v>471</v>
          </cell>
          <cell r="D518" t="str">
            <v>SIID271</v>
          </cell>
          <cell r="I518" t="str">
            <v>（日本円換算）明細文書ヘッダ適用税制ID</v>
          </cell>
        </row>
        <row r="519">
          <cell r="B519">
            <v>472</v>
          </cell>
          <cell r="D519" t="str">
            <v>IGR64</v>
          </cell>
          <cell r="I519" t="str">
            <v>明細文書ヘッダ決済／取引期間グループ</v>
          </cell>
          <cell r="AL519" t="str">
            <v>IBG-14</v>
          </cell>
        </row>
        <row r="520">
          <cell r="B520">
            <v>473</v>
          </cell>
          <cell r="D520" t="str">
            <v/>
          </cell>
          <cell r="I520" t="str">
            <v>明細文書ヘッダ取引期間クラス</v>
          </cell>
        </row>
        <row r="521">
          <cell r="B521">
            <v>474</v>
          </cell>
          <cell r="D521" t="str">
            <v>IID272</v>
          </cell>
          <cell r="I521" t="str">
            <v>明細文書ヘッダ取引開始日</v>
          </cell>
          <cell r="AL521" t="str">
            <v>IBT-073</v>
          </cell>
        </row>
        <row r="522">
          <cell r="B522">
            <v>475</v>
          </cell>
          <cell r="D522" t="str">
            <v>IID273</v>
          </cell>
          <cell r="I522" t="str">
            <v>明細文書ヘッダ取引終了日</v>
          </cell>
          <cell r="AL522" t="str">
            <v>IBT-074</v>
          </cell>
        </row>
        <row r="523">
          <cell r="B523">
            <v>500</v>
          </cell>
          <cell r="D523" t="str">
            <v>SIGR65</v>
          </cell>
          <cell r="I523" t="str">
            <v>明細文書ヘッダ決済／合計金額グループ</v>
          </cell>
          <cell r="AL523" t="str">
            <v>IBG-22</v>
          </cell>
        </row>
        <row r="524">
          <cell r="B524">
            <v>501</v>
          </cell>
          <cell r="D524" t="str">
            <v/>
          </cell>
          <cell r="I524" t="str">
            <v>明細文書ヘッダ合計金額クラス</v>
          </cell>
        </row>
        <row r="525">
          <cell r="B525">
            <v>502</v>
          </cell>
          <cell r="D525" t="str">
            <v>SIID274</v>
          </cell>
          <cell r="I525" t="str">
            <v>明細文書ヘッダ追加請求合計金額</v>
          </cell>
          <cell r="AL525" t="str">
            <v>IBT-108</v>
          </cell>
        </row>
        <row r="526">
          <cell r="B526">
            <v>503</v>
          </cell>
          <cell r="D526" t="str">
            <v>SIID275</v>
          </cell>
          <cell r="I526" t="str">
            <v>明細文書ヘッダ返金合計金額</v>
          </cell>
          <cell r="AL526" t="str">
            <v>IBT-107</v>
          </cell>
        </row>
        <row r="527">
          <cell r="B527">
            <v>504</v>
          </cell>
          <cell r="D527" t="str">
            <v>SIID276</v>
          </cell>
          <cell r="I527" t="str">
            <v>明細文書ヘッダ消費税合計額</v>
          </cell>
          <cell r="AL527" t="str">
            <v>IBT-110</v>
          </cell>
        </row>
        <row r="528">
          <cell r="I528" t="str">
            <v>明細文書ヘッダ消費税合計額金額通貨属性ID</v>
          </cell>
        </row>
        <row r="529">
          <cell r="B529">
            <v>505</v>
          </cell>
          <cell r="D529" t="str">
            <v>SIID442</v>
          </cell>
          <cell r="I529" t="str">
            <v>（日本円換算）明細文書ヘッダ消費税合計額</v>
          </cell>
          <cell r="AL529" t="str">
            <v>IBT-111</v>
          </cell>
        </row>
        <row r="530">
          <cell r="B530">
            <v>506</v>
          </cell>
          <cell r="D530" t="str">
            <v>SIID471</v>
          </cell>
          <cell r="I530" t="str">
            <v>（日本円換算）金額通貨属性ID</v>
          </cell>
        </row>
        <row r="531">
          <cell r="B531">
            <v>507</v>
          </cell>
          <cell r="D531" t="str">
            <v>SIID277</v>
          </cell>
          <cell r="I531" t="str">
            <v>明細文書ヘッダグロス合計金額（税抜き）</v>
          </cell>
          <cell r="AL531" t="str">
            <v>IBT-109</v>
          </cell>
        </row>
        <row r="532">
          <cell r="B532">
            <v>508</v>
          </cell>
          <cell r="D532" t="str">
            <v>SIID278</v>
          </cell>
          <cell r="I532" t="str">
            <v>明細文書ヘッダ譲渡資産合計金額(税抜き)</v>
          </cell>
          <cell r="AL532" t="str">
            <v>IBT-106</v>
          </cell>
        </row>
        <row r="533">
          <cell r="B533">
            <v>509</v>
          </cell>
          <cell r="D533" t="str">
            <v>SIID279</v>
          </cell>
          <cell r="I533" t="str">
            <v>明細文書ヘッダ譲渡資産合計金額(税込み)</v>
          </cell>
        </row>
        <row r="534">
          <cell r="B534">
            <v>510</v>
          </cell>
          <cell r="D534" t="str">
            <v>SIID280</v>
          </cell>
          <cell r="I534" t="str">
            <v>明細文書ヘッダ総合計金額（税込み）</v>
          </cell>
          <cell r="AL534" t="str">
            <v>IBT-112</v>
          </cell>
        </row>
        <row r="535">
          <cell r="B535">
            <v>511</v>
          </cell>
          <cell r="D535" t="str">
            <v>SIGR69</v>
          </cell>
          <cell r="I535" t="str">
            <v>明細文書ヘッダ決済／参照インボイス対象物グループ</v>
          </cell>
        </row>
        <row r="536">
          <cell r="B536">
            <v>512</v>
          </cell>
          <cell r="D536" t="str">
            <v/>
          </cell>
          <cell r="I536" t="str">
            <v>（明細文書ヘッダ参照）インボイス対象物クラス</v>
          </cell>
        </row>
        <row r="537">
          <cell r="B537">
            <v>513</v>
          </cell>
          <cell r="D537" t="str">
            <v>SIID289</v>
          </cell>
          <cell r="I537" t="str">
            <v>（明細文書ヘッダ参照）インボイス対象物ID</v>
          </cell>
          <cell r="AL537" t="str">
            <v>IBT-018</v>
          </cell>
        </row>
        <row r="538">
          <cell r="B538">
            <v>514</v>
          </cell>
          <cell r="D538" t="str">
            <v>SIID290</v>
          </cell>
          <cell r="I538" t="str">
            <v>（明細文書ヘッダ参照）インボイス対象物発行日</v>
          </cell>
        </row>
        <row r="539">
          <cell r="B539">
            <v>515</v>
          </cell>
          <cell r="D539" t="str">
            <v>SIID291</v>
          </cell>
          <cell r="I539" t="str">
            <v>（明細文書ヘッダ参照）インボイス対象物参照タイプコード</v>
          </cell>
          <cell r="AL539" t="str">
            <v>IBT-018-1</v>
          </cell>
        </row>
        <row r="540">
          <cell r="B540">
            <v>516</v>
          </cell>
          <cell r="D540" t="str">
            <v>SIID292</v>
          </cell>
          <cell r="I540" t="str">
            <v>（明細文書ヘッダ参照）インボイス対象物履歴ID</v>
          </cell>
        </row>
        <row r="541">
          <cell r="D541" t="str">
            <v>SIID293</v>
          </cell>
          <cell r="I541" t="str">
            <v>（明細文書ヘッダ参照）インボイス対象物タイプコード</v>
          </cell>
        </row>
        <row r="542">
          <cell r="D542" t="str">
            <v>SIID294</v>
          </cell>
          <cell r="I542" t="str">
            <v>（明細文書ヘッダ参照）インボイス対象物サブタイプコード</v>
          </cell>
        </row>
        <row r="543">
          <cell r="B543">
            <v>517</v>
          </cell>
          <cell r="D543" t="str">
            <v/>
          </cell>
          <cell r="I543" t="str">
            <v>（明細文書ヘッダ参照）インボイス対象物説明</v>
          </cell>
        </row>
        <row r="544">
          <cell r="B544">
            <v>518</v>
          </cell>
          <cell r="D544" t="str">
            <v/>
          </cell>
          <cell r="I544" t="str">
            <v>明細文書ヘッダ決済／入札書グループ</v>
          </cell>
        </row>
        <row r="545">
          <cell r="B545">
            <v>519</v>
          </cell>
          <cell r="D545" t="str">
            <v/>
          </cell>
          <cell r="I545" t="str">
            <v>（明細文書ヘッダ参照）入札書クラス</v>
          </cell>
        </row>
        <row r="546">
          <cell r="B546">
            <v>520</v>
          </cell>
          <cell r="D546" t="str">
            <v>SIID295</v>
          </cell>
          <cell r="I546" t="str">
            <v>（明細文書ヘッダ参照）入札書ID</v>
          </cell>
          <cell r="AL546" t="str">
            <v>IBT-017</v>
          </cell>
        </row>
        <row r="547">
          <cell r="B547">
            <v>521</v>
          </cell>
          <cell r="D547" t="str">
            <v>SIID296</v>
          </cell>
          <cell r="I547" t="str">
            <v>（明細文書ヘッダ参照）入札書発行日</v>
          </cell>
        </row>
        <row r="548">
          <cell r="B548">
            <v>522</v>
          </cell>
          <cell r="D548" t="str">
            <v>SIID298</v>
          </cell>
          <cell r="I548" t="str">
            <v>（明細文書ヘッダ参照）入札書履歴ID</v>
          </cell>
        </row>
        <row r="549">
          <cell r="B549">
            <v>523</v>
          </cell>
          <cell r="D549" t="str">
            <v>SIID299</v>
          </cell>
          <cell r="I549" t="str">
            <v>（明細文書ヘッダ参照）入札書説明</v>
          </cell>
        </row>
        <row r="550">
          <cell r="B550">
            <v>524</v>
          </cell>
          <cell r="D550" t="str">
            <v>SIID300</v>
          </cell>
          <cell r="I550" t="str">
            <v>（明細文書ヘッダ参照）入札書タイプコード</v>
          </cell>
        </row>
        <row r="552">
          <cell r="B552">
            <v>525</v>
          </cell>
          <cell r="D552" t="str">
            <v>SIID302</v>
          </cell>
          <cell r="I552" t="str">
            <v>（明細文書ヘッダ参照）入札書サブタイプコード</v>
          </cell>
        </row>
        <row r="553">
          <cell r="B553">
            <v>526</v>
          </cell>
          <cell r="D553" t="str">
            <v>SIGR71</v>
          </cell>
          <cell r="I553" t="str">
            <v>明細文書ヘッダ決済／参照文書グループ</v>
          </cell>
          <cell r="AL553" t="str">
            <v>IBG-24</v>
          </cell>
        </row>
        <row r="554">
          <cell r="B554">
            <v>527</v>
          </cell>
          <cell r="D554" t="str">
            <v/>
          </cell>
          <cell r="I554" t="str">
            <v>（明細文書ヘッダ参照）文書クラス</v>
          </cell>
        </row>
        <row r="555">
          <cell r="B555">
            <v>528</v>
          </cell>
          <cell r="D555" t="str">
            <v>SIID303</v>
          </cell>
          <cell r="I555" t="str">
            <v>（明細文書ヘッダ参照）文書ID</v>
          </cell>
          <cell r="AL555" t="str">
            <v>IBT-122</v>
          </cell>
        </row>
        <row r="556">
          <cell r="B556">
            <v>529</v>
          </cell>
          <cell r="D556" t="str">
            <v>SIID408</v>
          </cell>
          <cell r="I556" t="str">
            <v>（明細文書ヘッダ参照）文書URL_ID</v>
          </cell>
          <cell r="AL556" t="str">
            <v>IBT-124</v>
          </cell>
        </row>
        <row r="557">
          <cell r="B557">
            <v>530</v>
          </cell>
          <cell r="D557" t="str">
            <v>SIID304</v>
          </cell>
          <cell r="I557" t="str">
            <v>（明細文書ヘッダ参照）文書発行日</v>
          </cell>
        </row>
        <row r="558">
          <cell r="B558">
            <v>531</v>
          </cell>
          <cell r="D558" t="str">
            <v>SIID305</v>
          </cell>
          <cell r="I558" t="str">
            <v>（明細文書ヘッダ参照）文書参照タイプコード</v>
          </cell>
        </row>
        <row r="559">
          <cell r="B559">
            <v>532</v>
          </cell>
          <cell r="D559" t="str">
            <v>SIID306</v>
          </cell>
          <cell r="I559" t="str">
            <v>（明細文書ヘッダ参照）文書履歴ID</v>
          </cell>
        </row>
        <row r="560">
          <cell r="B560">
            <v>533</v>
          </cell>
          <cell r="D560" t="str">
            <v>SIID307</v>
          </cell>
          <cell r="I560" t="str">
            <v>（明細文書ヘッダ参照）文書説明</v>
          </cell>
          <cell r="AL560" t="str">
            <v>IBT-123</v>
          </cell>
        </row>
        <row r="561">
          <cell r="B561">
            <v>534</v>
          </cell>
          <cell r="D561" t="str">
            <v>DID3</v>
          </cell>
          <cell r="I561" t="str">
            <v>（明細文書ヘッダ参照）文書タイプコード</v>
          </cell>
        </row>
        <row r="562">
          <cell r="B562">
            <v>543</v>
          </cell>
          <cell r="D562" t="str">
            <v>DID8</v>
          </cell>
          <cell r="I562" t="str">
            <v>（明細文書ヘッダ参照）文書サブタイプコード</v>
          </cell>
        </row>
        <row r="563">
          <cell r="B563">
            <v>544</v>
          </cell>
          <cell r="D563" t="str">
            <v>SIGR98</v>
          </cell>
          <cell r="I563" t="str">
            <v>明細文書ヘッダ決済／会計アカウントグループ</v>
          </cell>
        </row>
        <row r="564">
          <cell r="B564">
            <v>545</v>
          </cell>
          <cell r="D564" t="str">
            <v/>
          </cell>
          <cell r="I564" t="str">
            <v>会計アカウントクラス</v>
          </cell>
        </row>
        <row r="565">
          <cell r="B565">
            <v>546</v>
          </cell>
          <cell r="D565" t="str">
            <v>SIID432</v>
          </cell>
          <cell r="I565" t="str">
            <v>明細文書ヘッダ会計アカウントID</v>
          </cell>
          <cell r="AL565" t="str">
            <v>IBT-019</v>
          </cell>
        </row>
        <row r="566">
          <cell r="B566">
            <v>547</v>
          </cell>
          <cell r="D566" t="str">
            <v>SIID433</v>
          </cell>
          <cell r="I566" t="str">
            <v>明細文書ヘッダ会計アカウントタイプコード</v>
          </cell>
        </row>
        <row r="567">
          <cell r="B567">
            <v>548</v>
          </cell>
          <cell r="D567" t="str">
            <v>SIID434</v>
          </cell>
          <cell r="I567" t="str">
            <v>明細文書ヘッダ会計アカウント名</v>
          </cell>
          <cell r="AL567" t="str">
            <v>IBT-019</v>
          </cell>
        </row>
        <row r="568">
          <cell r="B568">
            <v>549</v>
          </cell>
          <cell r="D568" t="str">
            <v>SIGR73</v>
          </cell>
          <cell r="I568" t="str">
            <v>明細文書ヘッダ／明細行グループ</v>
          </cell>
          <cell r="AL568" t="str">
            <v>IBG-25</v>
          </cell>
        </row>
        <row r="569">
          <cell r="B569">
            <v>550</v>
          </cell>
          <cell r="D569" t="str">
            <v/>
          </cell>
          <cell r="I569" t="str">
            <v>明細行クラス</v>
          </cell>
        </row>
        <row r="570">
          <cell r="B570">
            <v>551</v>
          </cell>
          <cell r="D570" t="str">
            <v>SIID313</v>
          </cell>
          <cell r="I570" t="str">
            <v>明細行ID</v>
          </cell>
          <cell r="AL570" t="str">
            <v>IBT-126</v>
          </cell>
        </row>
        <row r="571">
          <cell r="B571">
            <v>552</v>
          </cell>
          <cell r="D571" t="str">
            <v>SIID314</v>
          </cell>
          <cell r="I571" t="str">
            <v>明細行類型コード</v>
          </cell>
        </row>
        <row r="572">
          <cell r="B572">
            <v>553</v>
          </cell>
          <cell r="D572" t="str">
            <v>SIID803</v>
          </cell>
          <cell r="I572" t="str">
            <v>明細行回答タイプコード</v>
          </cell>
        </row>
        <row r="573">
          <cell r="B573">
            <v>554</v>
          </cell>
          <cell r="D573" t="str">
            <v>SIID806</v>
          </cell>
          <cell r="I573" t="str">
            <v>明細行回答理由コード</v>
          </cell>
        </row>
        <row r="574">
          <cell r="B574">
            <v>555</v>
          </cell>
          <cell r="D574" t="str">
            <v>SIID807</v>
          </cell>
          <cell r="I574" t="str">
            <v>明細行回答理由</v>
          </cell>
        </row>
        <row r="575">
          <cell r="B575">
            <v>700</v>
          </cell>
          <cell r="D575" t="str">
            <v>SIGR90</v>
          </cell>
          <cell r="I575" t="str">
            <v>明細行／取引品目グループ</v>
          </cell>
          <cell r="AL575" t="str">
            <v>IBG-31</v>
          </cell>
        </row>
        <row r="576">
          <cell r="B576">
            <v>701</v>
          </cell>
          <cell r="D576" t="str">
            <v/>
          </cell>
          <cell r="I576" t="str">
            <v>取引品目クラス</v>
          </cell>
        </row>
        <row r="577">
          <cell r="B577">
            <v>702</v>
          </cell>
          <cell r="D577" t="str">
            <v>SIID392</v>
          </cell>
          <cell r="I577" t="str">
            <v>品目ID</v>
          </cell>
        </row>
        <row r="578">
          <cell r="B578">
            <v>703</v>
          </cell>
          <cell r="D578" t="str">
            <v>SIID393</v>
          </cell>
          <cell r="I578" t="str">
            <v>グローバル品目ID</v>
          </cell>
          <cell r="AL578" t="str">
            <v>IBT-157</v>
          </cell>
        </row>
        <row r="579">
          <cell r="B579">
            <v>704</v>
          </cell>
          <cell r="D579" t="str">
            <v>SIID394</v>
          </cell>
          <cell r="I579" t="str">
            <v>受注者品目ID</v>
          </cell>
          <cell r="AL579" t="str">
            <v>IBT-155</v>
          </cell>
        </row>
        <row r="580">
          <cell r="B580">
            <v>705</v>
          </cell>
          <cell r="D580" t="str">
            <v>SIID395</v>
          </cell>
          <cell r="I580" t="str">
            <v>発注者品目ID</v>
          </cell>
          <cell r="AL580" t="str">
            <v>IBT-156</v>
          </cell>
        </row>
        <row r="581">
          <cell r="B581">
            <v>706</v>
          </cell>
          <cell r="D581" t="str">
            <v>SIID396</v>
          </cell>
          <cell r="I581" t="str">
            <v>メーカー品目ID</v>
          </cell>
        </row>
        <row r="582">
          <cell r="B582">
            <v>707</v>
          </cell>
          <cell r="D582" t="str">
            <v>SIID397</v>
          </cell>
          <cell r="I582" t="str">
            <v>品目名</v>
          </cell>
          <cell r="AL582" t="str">
            <v>IBT-153</v>
          </cell>
        </row>
        <row r="583">
          <cell r="B583">
            <v>708</v>
          </cell>
          <cell r="D583" t="str">
            <v>SIID398</v>
          </cell>
          <cell r="I583" t="str">
            <v>品目摘要</v>
          </cell>
          <cell r="AL583" t="str">
            <v>IBT-154</v>
          </cell>
        </row>
        <row r="584">
          <cell r="B584">
            <v>709</v>
          </cell>
          <cell r="D584" t="str">
            <v>SIID399</v>
          </cell>
          <cell r="I584" t="str">
            <v>品目数量単位判別子</v>
          </cell>
        </row>
        <row r="585">
          <cell r="B585">
            <v>713</v>
          </cell>
          <cell r="D585" t="str">
            <v>SIGR91</v>
          </cell>
          <cell r="I585" t="str">
            <v>取引品目クラス／品目特性グループ</v>
          </cell>
          <cell r="AL585" t="str">
            <v>IBG-32</v>
          </cell>
        </row>
        <row r="586">
          <cell r="B586">
            <v>714</v>
          </cell>
          <cell r="D586" t="str">
            <v/>
          </cell>
          <cell r="I586" t="str">
            <v>品目特性クラス</v>
          </cell>
        </row>
        <row r="587">
          <cell r="B587">
            <v>715</v>
          </cell>
          <cell r="D587" t="str">
            <v>SIID401</v>
          </cell>
          <cell r="I587" t="str">
            <v>取引品目特性内容</v>
          </cell>
          <cell r="AL587" t="str">
            <v>IBT-160</v>
          </cell>
        </row>
        <row r="588">
          <cell r="B588">
            <v>716</v>
          </cell>
          <cell r="D588" t="str">
            <v>SIID402</v>
          </cell>
          <cell r="I588" t="str">
            <v>品目特性値</v>
          </cell>
          <cell r="AL588" t="str">
            <v>IBT-161</v>
          </cell>
        </row>
        <row r="589">
          <cell r="B589">
            <v>710</v>
          </cell>
          <cell r="D589" t="str">
            <v>SIGR93</v>
          </cell>
          <cell r="I589" t="str">
            <v>取引品目クラス／品目分類グループ</v>
          </cell>
        </row>
        <row r="590">
          <cell r="B590">
            <v>711</v>
          </cell>
          <cell r="D590" t="str">
            <v/>
          </cell>
          <cell r="I590" t="str">
            <v>品目分類クラス</v>
          </cell>
        </row>
        <row r="591">
          <cell r="B591">
            <v>712</v>
          </cell>
          <cell r="D591" t="str">
            <v>SIID400</v>
          </cell>
          <cell r="I591" t="str">
            <v>品目分類</v>
          </cell>
          <cell r="AL591" t="str">
            <v>IBT-158</v>
          </cell>
        </row>
        <row r="592">
          <cell r="B592">
            <v>717</v>
          </cell>
          <cell r="D592" t="str">
            <v>SIGR92</v>
          </cell>
          <cell r="I592" t="str">
            <v>取引品目クラス／原産地グループ</v>
          </cell>
        </row>
        <row r="593">
          <cell r="B593">
            <v>718</v>
          </cell>
          <cell r="D593" t="str">
            <v/>
          </cell>
          <cell r="I593" t="str">
            <v>品目原産地クラス</v>
          </cell>
        </row>
        <row r="594">
          <cell r="B594">
            <v>719</v>
          </cell>
          <cell r="D594" t="str">
            <v>SIID403</v>
          </cell>
          <cell r="I594" t="str">
            <v>原産国ID</v>
          </cell>
          <cell r="AL594" t="str">
            <v>IBT-159</v>
          </cell>
        </row>
        <row r="595">
          <cell r="B595">
            <v>561</v>
          </cell>
          <cell r="D595" t="str">
            <v/>
          </cell>
          <cell r="I595" t="str">
            <v>明細行／取引契約グループ</v>
          </cell>
        </row>
        <row r="596">
          <cell r="B596">
            <v>562</v>
          </cell>
          <cell r="D596" t="str">
            <v/>
          </cell>
          <cell r="I596" t="str">
            <v>取引契約クラス</v>
          </cell>
        </row>
        <row r="597">
          <cell r="B597">
            <v>563</v>
          </cell>
          <cell r="D597" t="str">
            <v>SIGR75</v>
          </cell>
          <cell r="I597" t="str">
            <v>明細行契約／明細行参照受注書グループ</v>
          </cell>
        </row>
        <row r="598">
          <cell r="B598">
            <v>564</v>
          </cell>
          <cell r="D598" t="str">
            <v/>
          </cell>
          <cell r="I598" t="str">
            <v>明細行参照受注書クラス</v>
          </cell>
        </row>
        <row r="599">
          <cell r="B599">
            <v>565</v>
          </cell>
          <cell r="D599" t="str">
            <v>ORID1</v>
          </cell>
          <cell r="I599" t="str">
            <v>（明細行参照）受注書ID</v>
          </cell>
        </row>
        <row r="600">
          <cell r="B600">
            <v>566</v>
          </cell>
          <cell r="D600" t="str">
            <v>IID453</v>
          </cell>
          <cell r="I600" t="str">
            <v>（明細行参照）受注書URL_ID</v>
          </cell>
        </row>
        <row r="601">
          <cell r="B601">
            <v>567</v>
          </cell>
          <cell r="D601" t="str">
            <v>ORID4</v>
          </cell>
          <cell r="I601" t="str">
            <v>（明細行参照）受注書発行日</v>
          </cell>
        </row>
        <row r="602">
          <cell r="B602">
            <v>568</v>
          </cell>
          <cell r="D602" t="str">
            <v>ORID103</v>
          </cell>
          <cell r="I602" t="str">
            <v>（明細行参照）受注書明細行ID</v>
          </cell>
        </row>
        <row r="603">
          <cell r="B603">
            <v>569</v>
          </cell>
          <cell r="D603" t="str">
            <v>ORID7</v>
          </cell>
          <cell r="I603" t="str">
            <v>（明細行参照）受注書履歴ID</v>
          </cell>
        </row>
        <row r="604">
          <cell r="B604">
            <v>570</v>
          </cell>
          <cell r="D604" t="str">
            <v>SIGR76</v>
          </cell>
          <cell r="I604" t="str">
            <v>明細行契約／明細行参照注文書グループ</v>
          </cell>
        </row>
        <row r="605">
          <cell r="B605">
            <v>571</v>
          </cell>
          <cell r="D605" t="str">
            <v/>
          </cell>
          <cell r="I605" t="str">
            <v>明細行参照注文書クラス</v>
          </cell>
        </row>
        <row r="606">
          <cell r="B606">
            <v>572</v>
          </cell>
          <cell r="D606" t="str">
            <v>OID1</v>
          </cell>
          <cell r="I606" t="str">
            <v>（明細行参照）注文書ID</v>
          </cell>
          <cell r="AL606" t="str">
            <v>IBT-183</v>
          </cell>
        </row>
        <row r="607">
          <cell r="B607">
            <v>573</v>
          </cell>
          <cell r="D607" t="str">
            <v>IID455</v>
          </cell>
          <cell r="I607" t="str">
            <v>（明細行参照）注文書URL_ID</v>
          </cell>
        </row>
        <row r="608">
          <cell r="B608">
            <v>574</v>
          </cell>
          <cell r="D608" t="str">
            <v>OID4</v>
          </cell>
          <cell r="I608" t="str">
            <v>（明細行参照）注文書発行日</v>
          </cell>
        </row>
        <row r="609">
          <cell r="B609">
            <v>575</v>
          </cell>
          <cell r="D609" t="str">
            <v>ORID103</v>
          </cell>
          <cell r="I609" t="str">
            <v>（明細行参照）注文書明細行ID</v>
          </cell>
          <cell r="AL609" t="str">
            <v>IBT-132</v>
          </cell>
        </row>
        <row r="610">
          <cell r="B610">
            <v>576</v>
          </cell>
          <cell r="D610" t="str">
            <v>OID7</v>
          </cell>
          <cell r="I610" t="str">
            <v>（明細行参照）注文書履歴ID</v>
          </cell>
        </row>
        <row r="611">
          <cell r="B611">
            <v>577</v>
          </cell>
          <cell r="D611" t="str">
            <v>SIGR79</v>
          </cell>
          <cell r="I611" t="str">
            <v>明細行契約／明細行参照文書グループ</v>
          </cell>
          <cell r="AL611" t="str">
            <v>IBG-36</v>
          </cell>
        </row>
        <row r="612">
          <cell r="B612">
            <v>578</v>
          </cell>
          <cell r="D612" t="str">
            <v/>
          </cell>
          <cell r="I612" t="str">
            <v>（明細行参照）文書クラス</v>
          </cell>
        </row>
        <row r="613">
          <cell r="B613">
            <v>588</v>
          </cell>
          <cell r="D613" t="str">
            <v>SIID343</v>
          </cell>
          <cell r="I613" t="str">
            <v>（明細行参照）文書添付ファイル</v>
          </cell>
        </row>
        <row r="614">
          <cell r="B614">
            <v>579</v>
          </cell>
          <cell r="D614" t="str">
            <v>SIID338</v>
          </cell>
          <cell r="I614" t="str">
            <v>（明細行参照）文書ID</v>
          </cell>
          <cell r="AL614" t="str">
            <v>IBT-188</v>
          </cell>
        </row>
        <row r="615">
          <cell r="B615">
            <v>580</v>
          </cell>
          <cell r="D615" t="str">
            <v>SIID417</v>
          </cell>
          <cell r="I615" t="str">
            <v>（明細行参照）文書URL_ID</v>
          </cell>
        </row>
        <row r="616">
          <cell r="B616">
            <v>581</v>
          </cell>
          <cell r="D616" t="str">
            <v>SIID457</v>
          </cell>
          <cell r="I616" t="str">
            <v>（明細行参照）文書発行日</v>
          </cell>
        </row>
        <row r="617">
          <cell r="B617">
            <v>582</v>
          </cell>
          <cell r="D617" t="str">
            <v>SIID339</v>
          </cell>
          <cell r="I617" t="str">
            <v>（明細行参照）文書明細行ID</v>
          </cell>
        </row>
        <row r="618">
          <cell r="B618">
            <v>583</v>
          </cell>
          <cell r="D618" t="str">
            <v>SIID340</v>
          </cell>
          <cell r="I618" t="str">
            <v>（明細行参照）文書参照タイプコード</v>
          </cell>
        </row>
        <row r="619">
          <cell r="B619">
            <v>584</v>
          </cell>
          <cell r="D619" t="str">
            <v>SIID341</v>
          </cell>
          <cell r="I619" t="str">
            <v>（明細行参照）文書履歴ID</v>
          </cell>
        </row>
        <row r="620">
          <cell r="B620">
            <v>585</v>
          </cell>
          <cell r="D620" t="str">
            <v>SIID486</v>
          </cell>
          <cell r="I620" t="str">
            <v>（明細行参照）文書名</v>
          </cell>
        </row>
        <row r="621">
          <cell r="B621">
            <v>586</v>
          </cell>
          <cell r="D621" t="str">
            <v>SIID418</v>
          </cell>
          <cell r="I621" t="str">
            <v>（明細行参照）文書情報</v>
          </cell>
        </row>
        <row r="622">
          <cell r="B622">
            <v>587</v>
          </cell>
          <cell r="D622" t="str">
            <v>SIID342</v>
          </cell>
          <cell r="I622" t="str">
            <v>（明細行参照）文書タイプコード</v>
          </cell>
          <cell r="AL622" t="str">
            <v>IBT-189</v>
          </cell>
        </row>
        <row r="623">
          <cell r="B623">
            <v>595</v>
          </cell>
          <cell r="D623" t="str">
            <v/>
          </cell>
          <cell r="I623" t="str">
            <v>（明細行参照）文書類型コード</v>
          </cell>
        </row>
        <row r="624">
          <cell r="B624">
            <v>596</v>
          </cell>
          <cell r="D624" t="str">
            <v>SIID344</v>
          </cell>
          <cell r="I624" t="str">
            <v>（明細行参照）文書サブタイプコード</v>
          </cell>
        </row>
        <row r="625">
          <cell r="B625">
            <v>597</v>
          </cell>
          <cell r="D625" t="str">
            <v>SIGR80</v>
          </cell>
          <cell r="I625" t="str">
            <v>明細行契約／契約単価グループ</v>
          </cell>
          <cell r="AL625" t="str">
            <v>IBG-29</v>
          </cell>
        </row>
        <row r="626">
          <cell r="B626">
            <v>598</v>
          </cell>
          <cell r="D626" t="str">
            <v/>
          </cell>
          <cell r="I626" t="str">
            <v>契約単価クラス</v>
          </cell>
        </row>
        <row r="627">
          <cell r="B627">
            <v>599</v>
          </cell>
          <cell r="D627" t="str">
            <v>SIID345</v>
          </cell>
          <cell r="I627" t="str">
            <v>単価コード</v>
          </cell>
        </row>
        <row r="628">
          <cell r="B628">
            <v>600</v>
          </cell>
          <cell r="D628" t="str">
            <v>SIID346</v>
          </cell>
          <cell r="I628" t="str">
            <v>契約単価</v>
          </cell>
          <cell r="AL628" t="str">
            <v>IBT-146</v>
          </cell>
        </row>
        <row r="629">
          <cell r="B629">
            <v>601</v>
          </cell>
          <cell r="D629" t="str">
            <v>SIID347</v>
          </cell>
          <cell r="I629" t="str">
            <v>単価基準数量</v>
          </cell>
          <cell r="AL629" t="str">
            <v>IBT-149</v>
          </cell>
        </row>
        <row r="630">
          <cell r="B630">
            <v>602</v>
          </cell>
          <cell r="D630" t="str">
            <v/>
          </cell>
          <cell r="I630" t="str">
            <v>数量単位属性</v>
          </cell>
        </row>
        <row r="631">
          <cell r="B631">
            <v>603</v>
          </cell>
          <cell r="D631" t="str">
            <v>SIGR81</v>
          </cell>
          <cell r="I631" t="str">
            <v>明細行／配送グループ</v>
          </cell>
        </row>
        <row r="632">
          <cell r="B632">
            <v>604</v>
          </cell>
          <cell r="D632" t="str">
            <v/>
          </cell>
          <cell r="I632" t="str">
            <v>明細行納入クラス</v>
          </cell>
        </row>
        <row r="633">
          <cell r="B633">
            <v>611</v>
          </cell>
          <cell r="D633" t="str">
            <v>SIID355</v>
          </cell>
          <cell r="I633" t="str">
            <v>受領数量</v>
          </cell>
        </row>
        <row r="634">
          <cell r="B634">
            <v>605</v>
          </cell>
          <cell r="D634" t="str">
            <v>SIID351</v>
          </cell>
          <cell r="I634" t="str">
            <v>受領バラ数量</v>
          </cell>
        </row>
        <row r="635">
          <cell r="B635">
            <v>606</v>
          </cell>
          <cell r="D635" t="str">
            <v/>
          </cell>
          <cell r="I635" t="str">
            <v>数量単位属性</v>
          </cell>
        </row>
        <row r="636">
          <cell r="B636">
            <v>607</v>
          </cell>
          <cell r="D636" t="str">
            <v>SIID353</v>
          </cell>
          <cell r="I636" t="str">
            <v>受領セット単位数量(入り数）</v>
          </cell>
        </row>
        <row r="637">
          <cell r="B637">
            <v>609</v>
          </cell>
          <cell r="D637" t="str">
            <v>IID355</v>
          </cell>
          <cell r="I637" t="str">
            <v>請求数量</v>
          </cell>
          <cell r="AL637" t="str">
            <v>IBT-129</v>
          </cell>
        </row>
        <row r="638">
          <cell r="B638">
            <v>613</v>
          </cell>
          <cell r="D638" t="str">
            <v>IGR105</v>
          </cell>
          <cell r="I638" t="str">
            <v>明細行出荷／出荷イベントグループ</v>
          </cell>
        </row>
        <row r="639">
          <cell r="B639">
            <v>614</v>
          </cell>
          <cell r="D639" t="str">
            <v/>
          </cell>
          <cell r="I639" t="str">
            <v>イベントクラス</v>
          </cell>
        </row>
        <row r="640">
          <cell r="B640">
            <v>615</v>
          </cell>
          <cell r="D640" t="str">
            <v>IID495</v>
          </cell>
          <cell r="I640" t="str">
            <v>明細行出荷日</v>
          </cell>
        </row>
        <row r="641">
          <cell r="B641">
            <v>616</v>
          </cell>
          <cell r="D641" t="str">
            <v>SIGR106</v>
          </cell>
          <cell r="I641" t="str">
            <v>明細行配送／受領イベントグループ</v>
          </cell>
        </row>
        <row r="642">
          <cell r="B642">
            <v>617</v>
          </cell>
          <cell r="D642" t="str">
            <v/>
          </cell>
          <cell r="I642" t="str">
            <v>イベントクラス</v>
          </cell>
        </row>
        <row r="643">
          <cell r="B643">
            <v>618</v>
          </cell>
          <cell r="D643" t="str">
            <v>SIID496</v>
          </cell>
          <cell r="I643" t="str">
            <v>明細行受領日</v>
          </cell>
        </row>
        <row r="644">
          <cell r="B644">
            <v>619</v>
          </cell>
          <cell r="D644" t="str">
            <v>IGR78</v>
          </cell>
          <cell r="I644" t="str">
            <v>明細行配送／参照出荷案内書グループ</v>
          </cell>
        </row>
        <row r="645">
          <cell r="B645">
            <v>620</v>
          </cell>
          <cell r="D645" t="str">
            <v/>
          </cell>
          <cell r="I645" t="str">
            <v>（明細行参照）出荷案内書クラス</v>
          </cell>
        </row>
        <row r="646">
          <cell r="B646">
            <v>621</v>
          </cell>
          <cell r="D646" t="str">
            <v>IID331</v>
          </cell>
          <cell r="I646" t="str">
            <v>（明細行参照）出荷案内書ID</v>
          </cell>
          <cell r="AL646" t="str">
            <v>IBT-184</v>
          </cell>
        </row>
        <row r="647">
          <cell r="B647">
            <v>622</v>
          </cell>
          <cell r="D647" t="str">
            <v>IID331.1</v>
          </cell>
          <cell r="I647" t="str">
            <v>（明細行参照）出荷案内書URI_ID</v>
          </cell>
        </row>
        <row r="648">
          <cell r="B648">
            <v>623</v>
          </cell>
          <cell r="D648" t="str">
            <v>IID497</v>
          </cell>
          <cell r="I648" t="str">
            <v>（明細行参照）出荷案内書発行日</v>
          </cell>
        </row>
        <row r="649">
          <cell r="B649">
            <v>624</v>
          </cell>
          <cell r="D649" t="str">
            <v>IID332</v>
          </cell>
          <cell r="I649" t="str">
            <v>（明細行参照）出荷案内書明細行ID</v>
          </cell>
        </row>
        <row r="650">
          <cell r="B650">
            <v>625</v>
          </cell>
          <cell r="D650" t="str">
            <v>IID334</v>
          </cell>
          <cell r="I650" t="str">
            <v>（明細行参照）出荷案内書履歴ID</v>
          </cell>
        </row>
        <row r="651">
          <cell r="B651">
            <v>626</v>
          </cell>
          <cell r="D651" t="str">
            <v>IGR107</v>
          </cell>
          <cell r="I651" t="str">
            <v>明細行配送／参照出荷回答書グループ</v>
          </cell>
        </row>
        <row r="652">
          <cell r="B652">
            <v>627</v>
          </cell>
          <cell r="D652" t="str">
            <v/>
          </cell>
          <cell r="I652" t="str">
            <v>（明細行参照）出荷回答書クラス</v>
          </cell>
        </row>
        <row r="653">
          <cell r="B653">
            <v>628</v>
          </cell>
          <cell r="D653" t="str">
            <v>IID498</v>
          </cell>
          <cell r="I653" t="str">
            <v>（明細行参照）出荷回答書ID</v>
          </cell>
        </row>
        <row r="654">
          <cell r="B654">
            <v>629</v>
          </cell>
          <cell r="D654" t="str">
            <v>IID498.1</v>
          </cell>
          <cell r="I654" t="str">
            <v>（明細行参照）出荷回答書URI_ID</v>
          </cell>
        </row>
        <row r="655">
          <cell r="B655">
            <v>630</v>
          </cell>
          <cell r="D655" t="str">
            <v>IID499</v>
          </cell>
          <cell r="I655" t="str">
            <v>（明細行参照）出荷回答書発行日</v>
          </cell>
        </row>
        <row r="656">
          <cell r="B656">
            <v>631</v>
          </cell>
          <cell r="D656" t="str">
            <v>IID500</v>
          </cell>
          <cell r="I656" t="str">
            <v>（明細行参照）出荷回答書明細行ID</v>
          </cell>
        </row>
        <row r="657">
          <cell r="B657">
            <v>632</v>
          </cell>
          <cell r="D657" t="str">
            <v>IID501</v>
          </cell>
          <cell r="I657" t="str">
            <v>（明細行参照）出荷回答書履歴ID</v>
          </cell>
        </row>
        <row r="658">
          <cell r="B658">
            <v>633</v>
          </cell>
          <cell r="D658" t="str">
            <v>SIGR82</v>
          </cell>
          <cell r="I658" t="str">
            <v>明細行／決裁グループ</v>
          </cell>
        </row>
        <row r="659">
          <cell r="B659">
            <v>634</v>
          </cell>
          <cell r="D659" t="str">
            <v/>
          </cell>
          <cell r="I659" t="str">
            <v>明細行決裁クラス</v>
          </cell>
        </row>
        <row r="660">
          <cell r="B660">
            <v>635</v>
          </cell>
          <cell r="D660" t="str">
            <v>SIID357</v>
          </cell>
          <cell r="I660" t="str">
            <v>明細行取引方向コード</v>
          </cell>
        </row>
        <row r="661">
          <cell r="B661">
            <v>636</v>
          </cell>
          <cell r="D661" t="str">
            <v>SIGR83</v>
          </cell>
          <cell r="I661" t="str">
            <v>明細行決済／明細行税グループ</v>
          </cell>
          <cell r="AL661" t="str">
            <v>IBG-30</v>
          </cell>
        </row>
        <row r="662">
          <cell r="B662">
            <v>637</v>
          </cell>
          <cell r="D662" t="str">
            <v/>
          </cell>
          <cell r="I662" t="str">
            <v>明細行税クラス</v>
          </cell>
        </row>
        <row r="663">
          <cell r="B663">
            <v>638</v>
          </cell>
          <cell r="D663" t="str">
            <v>SIID358</v>
          </cell>
          <cell r="I663" t="str">
            <v>明細行税タイプコード</v>
          </cell>
          <cell r="AL663" t="str">
            <v>IBT-167</v>
          </cell>
        </row>
        <row r="664">
          <cell r="B664">
            <v>639</v>
          </cell>
          <cell r="D664" t="str">
            <v>SIID359</v>
          </cell>
          <cell r="I664" t="str">
            <v>明細行譲渡資産金額（税抜き）</v>
          </cell>
          <cell r="AL664" t="str">
            <v>IBT-131</v>
          </cell>
        </row>
        <row r="665">
          <cell r="B665">
            <v>640</v>
          </cell>
          <cell r="D665" t="str">
            <v>SIID360</v>
          </cell>
          <cell r="I665" t="str">
            <v>明細行課税分類コード</v>
          </cell>
          <cell r="AL665" t="str">
            <v>IBT-151</v>
          </cell>
        </row>
        <row r="666">
          <cell r="B666">
            <v>641</v>
          </cell>
          <cell r="D666" t="str">
            <v>SIID361</v>
          </cell>
          <cell r="I666" t="str">
            <v>明細行課税分類名</v>
          </cell>
        </row>
        <row r="667">
          <cell r="B667">
            <v>642</v>
          </cell>
          <cell r="D667" t="str">
            <v>SIID362</v>
          </cell>
          <cell r="I667" t="str">
            <v>明細行税率</v>
          </cell>
          <cell r="AL667" t="str">
            <v>IBT-152</v>
          </cell>
        </row>
        <row r="668">
          <cell r="B668">
            <v>643</v>
          </cell>
          <cell r="D668" t="str">
            <v>SIID363</v>
          </cell>
          <cell r="I668" t="str">
            <v>明細行譲渡資産金額(税込み)</v>
          </cell>
        </row>
        <row r="669">
          <cell r="B669">
            <v>644</v>
          </cell>
          <cell r="D669" t="str">
            <v>SIID364</v>
          </cell>
          <cell r="I669" t="str">
            <v>明細行適用税制ID</v>
          </cell>
        </row>
        <row r="670">
          <cell r="B670">
            <v>645</v>
          </cell>
          <cell r="D670" t="str">
            <v>SIGR84</v>
          </cell>
          <cell r="I670" t="str">
            <v>明細行決済／参照インボイス対象物グループ</v>
          </cell>
        </row>
        <row r="671">
          <cell r="B671">
            <v>646</v>
          </cell>
          <cell r="D671" t="str">
            <v/>
          </cell>
          <cell r="I671" t="str">
            <v>明細行インボイス対象物クラス</v>
          </cell>
        </row>
        <row r="672">
          <cell r="B672">
            <v>647</v>
          </cell>
          <cell r="D672" t="str">
            <v>SIID365</v>
          </cell>
          <cell r="I672" t="str">
            <v>（明細行参照）インボイス対象物ID</v>
          </cell>
          <cell r="AL672" t="str">
            <v>IBT-128</v>
          </cell>
        </row>
        <row r="673">
          <cell r="B673">
            <v>648</v>
          </cell>
          <cell r="D673" t="str">
            <v>SIID366</v>
          </cell>
          <cell r="I673" t="str">
            <v>（明細行参照）インボイス対象物発行日</v>
          </cell>
        </row>
        <row r="674">
          <cell r="B674">
            <v>649</v>
          </cell>
          <cell r="D674" t="str">
            <v>SIID367</v>
          </cell>
          <cell r="I674" t="str">
            <v>（明細行参照）インボイス対象物明細行ID</v>
          </cell>
        </row>
        <row r="675">
          <cell r="B675">
            <v>650</v>
          </cell>
          <cell r="D675" t="str">
            <v>SIID340</v>
          </cell>
          <cell r="I675" t="str">
            <v>（明細行参照）文書参照タイプコード</v>
          </cell>
          <cell r="AL675" t="str">
            <v>IBT-128-1</v>
          </cell>
        </row>
        <row r="676">
          <cell r="B676">
            <v>651</v>
          </cell>
          <cell r="D676" t="str">
            <v>SIID369</v>
          </cell>
          <cell r="I676" t="str">
            <v>（明細行参照）インボイス対象物履歴ID</v>
          </cell>
        </row>
        <row r="677">
          <cell r="B677">
            <v>652</v>
          </cell>
          <cell r="D677" t="str">
            <v>SIGR87</v>
          </cell>
          <cell r="I677" t="str">
            <v>明細行決済／調整（修正差額調整）グループ</v>
          </cell>
        </row>
        <row r="678">
          <cell r="B678">
            <v>653</v>
          </cell>
          <cell r="D678" t="str">
            <v/>
          </cell>
          <cell r="I678" t="str">
            <v>明細行調整クラス</v>
          </cell>
        </row>
        <row r="679">
          <cell r="B679">
            <v>654</v>
          </cell>
          <cell r="D679" t="str">
            <v>SIID385</v>
          </cell>
          <cell r="I679" t="str">
            <v>明細行調整理由コード（修正差額調整）</v>
          </cell>
        </row>
        <row r="680">
          <cell r="B680">
            <v>655</v>
          </cell>
          <cell r="D680" t="str">
            <v>SIID386</v>
          </cell>
          <cell r="I680" t="str">
            <v>明細行調整理由（修正差額調整）</v>
          </cell>
        </row>
        <row r="681">
          <cell r="B681">
            <v>656</v>
          </cell>
          <cell r="D681" t="str">
            <v>SIID387</v>
          </cell>
          <cell r="I681" t="str">
            <v>明細行調整金額（修正差額調整）</v>
          </cell>
        </row>
        <row r="682">
          <cell r="B682">
            <v>657</v>
          </cell>
          <cell r="D682" t="str">
            <v>SIGR89</v>
          </cell>
          <cell r="I682" t="str">
            <v>明細行調整／調整税（修正差額調整）グループ</v>
          </cell>
        </row>
        <row r="683">
          <cell r="B683">
            <v>658</v>
          </cell>
          <cell r="D683" t="str">
            <v/>
          </cell>
          <cell r="I683" t="str">
            <v>明細行調整税クラス</v>
          </cell>
        </row>
        <row r="684">
          <cell r="B684">
            <v>658.1</v>
          </cell>
          <cell r="D684" t="str">
            <v>SIID419.1</v>
          </cell>
          <cell r="I684" t="str">
            <v>明細行調整税タイプコード</v>
          </cell>
        </row>
        <row r="685">
          <cell r="B685">
            <v>659</v>
          </cell>
          <cell r="D685" t="str">
            <v>SIID419</v>
          </cell>
          <cell r="I685" t="str">
            <v>明細行調整課税分類コード（修正差額調整）</v>
          </cell>
        </row>
        <row r="686">
          <cell r="B686">
            <v>660</v>
          </cell>
          <cell r="D686" t="str">
            <v>SIID420</v>
          </cell>
          <cell r="I686" t="str">
            <v>明細行調整税率（修正差額調整）</v>
          </cell>
        </row>
        <row r="687">
          <cell r="B687">
            <v>661</v>
          </cell>
          <cell r="D687" t="str">
            <v>SIGR103</v>
          </cell>
          <cell r="I687" t="str">
            <v>明細行決済／調整（出金）グループ</v>
          </cell>
        </row>
        <row r="688">
          <cell r="B688">
            <v>662</v>
          </cell>
          <cell r="D688" t="str">
            <v/>
          </cell>
          <cell r="I688" t="str">
            <v>明細行調整クラス</v>
          </cell>
        </row>
        <row r="689">
          <cell r="B689">
            <v>663</v>
          </cell>
          <cell r="D689" t="str">
            <v>SIID429</v>
          </cell>
          <cell r="I689" t="str">
            <v>明細行調整理由コード（出金）</v>
          </cell>
        </row>
        <row r="690">
          <cell r="B690">
            <v>664</v>
          </cell>
          <cell r="D690" t="str">
            <v>SIID430</v>
          </cell>
          <cell r="I690" t="str">
            <v>明細行調整理由（出金）</v>
          </cell>
        </row>
        <row r="691">
          <cell r="B691">
            <v>665</v>
          </cell>
          <cell r="D691" t="str">
            <v>SIID431</v>
          </cell>
          <cell r="I691" t="str">
            <v>明細行調整金額（出金）</v>
          </cell>
        </row>
        <row r="692">
          <cell r="B692">
            <v>666</v>
          </cell>
          <cell r="D692" t="str">
            <v>IID505</v>
          </cell>
          <cell r="I692" t="str">
            <v>明細行調整実施日（出金）</v>
          </cell>
        </row>
        <row r="693">
          <cell r="B693">
            <v>667</v>
          </cell>
          <cell r="D693" t="str">
            <v>SIGR85</v>
          </cell>
          <cell r="I693" t="str">
            <v>明細行決裁／返金グループ</v>
          </cell>
          <cell r="AL693" t="str">
            <v>IBG-27</v>
          </cell>
        </row>
        <row r="694">
          <cell r="B694">
            <v>668</v>
          </cell>
          <cell r="D694" t="str">
            <v/>
          </cell>
          <cell r="I694" t="str">
            <v>明細行返金クラス</v>
          </cell>
        </row>
        <row r="695">
          <cell r="B695">
            <v>669</v>
          </cell>
          <cell r="D695" t="str">
            <v/>
          </cell>
          <cell r="I695" t="str">
            <v>明細行返金・追加請求判別子
    =返金（Allowance）</v>
          </cell>
        </row>
        <row r="696">
          <cell r="B696">
            <v>670</v>
          </cell>
          <cell r="D696" t="str">
            <v>SIID374</v>
          </cell>
          <cell r="I696" t="str">
            <v>明細行返金計算率</v>
          </cell>
          <cell r="AL696" t="str">
            <v>IBT-138</v>
          </cell>
        </row>
        <row r="697">
          <cell r="B697">
            <v>671</v>
          </cell>
          <cell r="D697" t="str">
            <v>SIID375</v>
          </cell>
          <cell r="I697" t="str">
            <v>明細行返金金額</v>
          </cell>
          <cell r="AL697" t="str">
            <v>IBT-136</v>
          </cell>
        </row>
        <row r="698">
          <cell r="B698">
            <v>672</v>
          </cell>
          <cell r="D698" t="str">
            <v>SIID376</v>
          </cell>
          <cell r="I698" t="str">
            <v>明細行返金理由コード</v>
          </cell>
          <cell r="AL698" t="str">
            <v>IBT-140</v>
          </cell>
        </row>
        <row r="699">
          <cell r="B699">
            <v>673</v>
          </cell>
          <cell r="D699" t="str">
            <v>SIID377</v>
          </cell>
          <cell r="I699" t="str">
            <v>明細行返金理由</v>
          </cell>
          <cell r="AL699" t="str">
            <v>IBT-139</v>
          </cell>
        </row>
        <row r="700">
          <cell r="B700">
            <v>674</v>
          </cell>
          <cell r="D700" t="str">
            <v>SIID378</v>
          </cell>
          <cell r="I700" t="str">
            <v>明細行返金計算根拠金額</v>
          </cell>
          <cell r="AL700" t="str">
            <v>IBT-137</v>
          </cell>
        </row>
        <row r="701">
          <cell r="B701">
            <v>675</v>
          </cell>
          <cell r="D701" t="str">
            <v>xxx001</v>
          </cell>
          <cell r="I701" t="str">
            <v>明細行返金／税グループ</v>
          </cell>
        </row>
        <row r="702">
          <cell r="B702">
            <v>676</v>
          </cell>
          <cell r="D702" t="str">
            <v/>
          </cell>
          <cell r="I702" t="str">
            <v>明細行返金税クラス</v>
          </cell>
        </row>
        <row r="703">
          <cell r="B703">
            <v>676.1</v>
          </cell>
          <cell r="D703" t="str">
            <v>xxx002</v>
          </cell>
          <cell r="I703" t="str">
            <v>明細行返金税タイプコード</v>
          </cell>
        </row>
        <row r="704">
          <cell r="B704">
            <v>677</v>
          </cell>
          <cell r="D704" t="str">
            <v>xxx003</v>
          </cell>
          <cell r="I704" t="str">
            <v>明細行返金課税分類コード</v>
          </cell>
          <cell r="AL704" t="str">
            <v>IBT-096</v>
          </cell>
        </row>
        <row r="705">
          <cell r="B705">
            <v>678</v>
          </cell>
          <cell r="D705" t="str">
            <v>xxx004</v>
          </cell>
          <cell r="I705" t="str">
            <v>明細行返金税率</v>
          </cell>
          <cell r="AL705" t="str">
            <v>IBT-095</v>
          </cell>
        </row>
        <row r="706">
          <cell r="B706">
            <v>679</v>
          </cell>
          <cell r="D706" t="str">
            <v>SIGR86</v>
          </cell>
          <cell r="I706" t="str">
            <v>明細行決裁／追加請求グループ</v>
          </cell>
          <cell r="AL706" t="str">
            <v>IBG-28</v>
          </cell>
        </row>
        <row r="707">
          <cell r="B707">
            <v>680</v>
          </cell>
          <cell r="D707" t="str">
            <v/>
          </cell>
          <cell r="I707" t="str">
            <v>明細行追加請求クラス</v>
          </cell>
        </row>
        <row r="708">
          <cell r="B708">
            <v>681</v>
          </cell>
          <cell r="D708" t="str">
            <v/>
          </cell>
          <cell r="I708" t="str">
            <v>明細行返金・追加請求判別子
    =追加請求（Charge）</v>
          </cell>
        </row>
        <row r="709">
          <cell r="B709">
            <v>682</v>
          </cell>
          <cell r="D709" t="str">
            <v>SIID380</v>
          </cell>
          <cell r="I709" t="str">
            <v>明細行追加請求計算率</v>
          </cell>
          <cell r="AL709" t="str">
            <v>IBT-143</v>
          </cell>
        </row>
        <row r="710">
          <cell r="B710">
            <v>683</v>
          </cell>
          <cell r="D710" t="str">
            <v>SIID381</v>
          </cell>
          <cell r="I710" t="str">
            <v>明細行追加請求金額</v>
          </cell>
          <cell r="AL710" t="str">
            <v>IBT-141</v>
          </cell>
        </row>
        <row r="711">
          <cell r="B711">
            <v>684</v>
          </cell>
          <cell r="D711" t="str">
            <v>SIID382</v>
          </cell>
          <cell r="I711" t="str">
            <v>明細行追加請求理由コード</v>
          </cell>
          <cell r="AL711" t="str">
            <v>IBT-145</v>
          </cell>
        </row>
        <row r="712">
          <cell r="B712">
            <v>685</v>
          </cell>
          <cell r="D712" t="str">
            <v>SIID383</v>
          </cell>
          <cell r="I712" t="str">
            <v>明細行追加請求理由</v>
          </cell>
          <cell r="AL712" t="str">
            <v>IBT-144</v>
          </cell>
        </row>
        <row r="713">
          <cell r="B713">
            <v>686</v>
          </cell>
          <cell r="D713" t="str">
            <v>SIID384</v>
          </cell>
          <cell r="I713" t="str">
            <v>明細行追加請求計算根拠金額</v>
          </cell>
          <cell r="AL713" t="str">
            <v>IBT-142</v>
          </cell>
        </row>
        <row r="714">
          <cell r="B714">
            <v>687</v>
          </cell>
          <cell r="D714" t="str">
            <v>xxx005</v>
          </cell>
          <cell r="I714" t="str">
            <v>明細行追加請求／税グループ</v>
          </cell>
        </row>
        <row r="715">
          <cell r="B715">
            <v>676</v>
          </cell>
          <cell r="D715" t="str">
            <v/>
          </cell>
          <cell r="I715" t="str">
            <v>明細行返金税クラス</v>
          </cell>
        </row>
        <row r="716">
          <cell r="B716">
            <v>676.1</v>
          </cell>
          <cell r="D716" t="str">
            <v>xxx002</v>
          </cell>
          <cell r="I716" t="str">
            <v>明細行返金税タイプコード</v>
          </cell>
        </row>
        <row r="717">
          <cell r="B717">
            <v>677</v>
          </cell>
          <cell r="D717" t="str">
            <v>xxx003</v>
          </cell>
          <cell r="I717" t="str">
            <v>明細行返金課税分類コード</v>
          </cell>
          <cell r="AL717" t="str">
            <v>IBT-096</v>
          </cell>
        </row>
        <row r="718">
          <cell r="B718">
            <v>678</v>
          </cell>
          <cell r="D718" t="str">
            <v>xxx004</v>
          </cell>
          <cell r="I718" t="str">
            <v>明細行返金税率</v>
          </cell>
          <cell r="AL718" t="str">
            <v>IBT-095</v>
          </cell>
        </row>
        <row r="719">
          <cell r="B719">
            <v>691</v>
          </cell>
          <cell r="D719" t="str">
            <v>IGR97</v>
          </cell>
          <cell r="I719" t="str">
            <v>明細行決済／取引期間グループ</v>
          </cell>
          <cell r="AL719" t="str">
            <v>IBG-26</v>
          </cell>
        </row>
        <row r="720">
          <cell r="B720">
            <v>692</v>
          </cell>
          <cell r="D720" t="str">
            <v/>
          </cell>
          <cell r="I720" t="str">
            <v>明細行取引期間クラス</v>
          </cell>
        </row>
        <row r="721">
          <cell r="B721">
            <v>693</v>
          </cell>
          <cell r="D721" t="str">
            <v>IID388</v>
          </cell>
          <cell r="I721" t="str">
            <v>明細行取引開始日</v>
          </cell>
          <cell r="AL721" t="str">
            <v>IBT-134</v>
          </cell>
        </row>
        <row r="722">
          <cell r="B722">
            <v>694</v>
          </cell>
          <cell r="D722" t="str">
            <v>IID389</v>
          </cell>
          <cell r="I722" t="str">
            <v>明細行取引終了日</v>
          </cell>
          <cell r="AL722" t="str">
            <v>IBT-135</v>
          </cell>
        </row>
        <row r="723">
          <cell r="B723">
            <v>556</v>
          </cell>
          <cell r="D723" t="str">
            <v>SIGR74</v>
          </cell>
          <cell r="I723" t="str">
            <v>明細行／注釈グループ</v>
          </cell>
        </row>
        <row r="724">
          <cell r="B724">
            <v>557</v>
          </cell>
          <cell r="D724" t="str">
            <v/>
          </cell>
          <cell r="I724" t="str">
            <v>明細行注釈クラス</v>
          </cell>
        </row>
        <row r="725">
          <cell r="B725">
            <v>558</v>
          </cell>
          <cell r="D725" t="str">
            <v>SIID315</v>
          </cell>
          <cell r="I725" t="str">
            <v>明細行注釈表題</v>
          </cell>
        </row>
        <row r="726">
          <cell r="B726">
            <v>559</v>
          </cell>
          <cell r="D726" t="str">
            <v>SIID316</v>
          </cell>
          <cell r="I726" t="str">
            <v>明細行注釈内容</v>
          </cell>
          <cell r="AL726" t="str">
            <v>IBT-127</v>
          </cell>
        </row>
        <row r="727">
          <cell r="B727">
            <v>560</v>
          </cell>
          <cell r="D727" t="str">
            <v>SIID317</v>
          </cell>
          <cell r="I727" t="str">
            <v>明細行注釈ID</v>
          </cell>
        </row>
      </sheetData>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表紙"/>
      <sheetName val="仕入明細"/>
      <sheetName val="仕入明細回答"/>
      <sheetName val="請求"/>
    </sheetNames>
    <sheetDataSet>
      <sheetData sheetId="0"/>
      <sheetData sheetId="1"/>
      <sheetData sheetId="2" refreshError="1"/>
      <sheetData sheetId="3" refreshError="1"/>
    </sheetDataSet>
  </externalBook>
</externalLink>
</file>

<file path=xl/persons/person.xml><?xml version="1.0" encoding="utf-8"?>
<personList xmlns="http://schemas.microsoft.com/office/spreadsheetml/2018/threadedcomments" xmlns:x="http://schemas.openxmlformats.org/spreadsheetml/2006/main">
  <person displayName="Nobuyuki SAMBUICHI" id="{D27B0D0B-085F-4EC1-841E-11D1DCC60B22}" userId="Nobuyuki SAMBUICHI" providerId="None"/>
</personList>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M26" dT="2025-10-27T23:19:34.59" personId="{D27B0D0B-085F-4EC1-841E-11D1DCC60B22}" id="{1410E2A0-A99B-4C07-9C14-EC19316045F8}">
    <text>決済に必要な情報ですが貴重とは無関係です。</text>
  </threadedComment>
  <threadedComment ref="F76" dT="2025-10-29T00:20:58.25" personId="{D27B0D0B-085F-4EC1-841E-11D1DCC60B22}" id="{768E66C2-6336-40CC-9231-A7D998CD5B2E}">
    <text>受注者者となっており誤記訂正</text>
  </threadedComment>
  <threadedComment ref="M76" dT="2025-10-27T23:20:40.27" personId="{D27B0D0B-085F-4EC1-841E-11D1DCC60B22}" id="{754DEC6F-4873-4CB4-A0FE-F95755851137}">
    <text>EDIのメッセージングに必要なデータですが、記帳とは無関係です。</text>
  </threadedComment>
  <threadedComment ref="M99" dT="2025-10-27T23:20:40.27" personId="{D27B0D0B-085F-4EC1-841E-11D1DCC60B22}" id="{3F59D309-FE64-4AD4-9992-972063382177}">
    <text>EDIのメッセージングに必要なデータですが、記帳とは無関係です。</text>
  </threadedComment>
  <threadedComment ref="M106" dT="2025-10-28T02:38:23.76" personId="{D27B0D0B-085F-4EC1-841E-11D1DCC60B22}" id="{A6712C5D-0E2C-4A01-835D-218E7A4FBC67}">
    <text>インボイス通貨が何かは記帳に必須ではありません。</text>
  </threadedComment>
  <threadedComment ref="M205" dT="2025-10-27T23:18:34.54" personId="{D27B0D0B-085F-4EC1-841E-11D1DCC60B22}" id="{FEF03E69-38A9-4095-BDB4-F990BDD73012}">
    <text>支払や決済に必要な情報は、記帳とは無関係です。以下同様。</text>
  </threadedComment>
  <threadedComment ref="M237" dT="2025-10-27T23:22:41.08" personId="{D27B0D0B-085F-4EC1-841E-11D1DCC60B22}" id="{38BF1A7F-5935-4308-B104-9FA33E03BBCD}">
    <text>決済に必要な情報ですが、記帳とは無関係です。</text>
  </threadedComment>
  <threadedComment ref="M240" dT="2025-10-28T01:59:04.36" personId="{D27B0D0B-085F-4EC1-841E-11D1DCC60B22}" id="{9B5F39B9-FCB6-4AFD-9338-00EED14860BB}">
    <text>鑑ヘッダの合計金額は、未清算金額や調整金額含めて、生産に必要なデータですが、記帳対象ではありません。
明細文書の合計金額（SIGR65）や調整金額を記帳します。</text>
  </threadedComment>
  <threadedComment ref="Q243" dT="2025-10-29T04:21:25.67" personId="{D27B0D0B-085F-4EC1-841E-11D1DCC60B22}" id="{4211742A-CF50-4BC7-A292-8E023682E411}">
    <text xml:space="preserve">CIIH_ Trade Settlement_ Monetary Summation. Tax Basis Total. Amount	A monetary value of the total of all tax basis amounts being reported in this CIIH trade settlement monetary summation.
</text>
  </threadedComment>
  <threadedComment ref="M247" dT="2025-10-27T23:35:00.87" personId="{D27B0D0B-085F-4EC1-841E-11D1DCC60B22}" id="{5F4EA533-E8BF-4ED3-93B6-F11024056BED}">
    <text>鑑ヘッダの合計金額は、未清算金額や調整金額含めて、生産に必要なデータですが、記帳対象ではありません。</text>
  </threadedComment>
  <threadedComment ref="M250" dT="2025-10-28T02:00:28.28" personId="{D27B0D0B-085F-4EC1-841E-11D1DCC60B22}" id="{AB2FE36B-2B16-48F5-A5AE-7E7C06DCDBA5}">
    <text>鑑ヘッダのデータは、決済のためのものであり、請求内容に関連するデータは明細文書ヘッダの金額を記帳対象とします。</text>
  </threadedComment>
  <threadedComment ref="M263" dT="2025-10-27T23:43:52.42" personId="{D27B0D0B-085F-4EC1-841E-11D1DCC60B22}" id="{D407EF73-FA36-4022-B302-CFEAE859813D}">
    <text>鑑ヘッダのデータは、決済のためのものであり、請求内容に関連するデータは明細文書ヘッダの金額を記帳対象とします。</text>
  </threadedComment>
  <threadedComment ref="M269" dT="2025-10-27T23:43:52.42" personId="{D27B0D0B-085F-4EC1-841E-11D1DCC60B22}" id="{B8943BEA-1563-45AF-9CF9-08EF4C7CB61A}">
    <text>鑑ヘッダのデータは、決済のためのものであり、未決済情報そのものは記帳対象ではありません。</text>
  </threadedComment>
  <threadedComment ref="M322" dT="2025-10-27T23:48:39.06" personId="{D27B0D0B-085F-4EC1-841E-11D1DCC60B22}" id="{23EB7678-514A-410C-8989-0D9F2C377D13}">
    <text>仕入明細を発行する買い手には無関係ですが、売り手が出荷基準で売掛を計上している場合、売上台帳との突合せに使用できます。</text>
  </threadedComment>
  <threadedComment ref="M326" dT="2025-10-28T01:39:40.08" personId="{D27B0D0B-085F-4EC1-841E-11D1DCC60B22}" id="{7A1B491D-7C8B-4C43-996B-8D0776D74DCE}">
    <text>仕入明細を発行する買い手には無関係ですが、売り手が出荷基準で売掛を計上している場合、売上台帳との突合せに使用できます。
参照文書を特定するために必要なデータです。</text>
  </threadedComment>
  <threadedComment ref="M328" dT="2025-10-28T02:04:42.34" personId="{D27B0D0B-085F-4EC1-841E-11D1DCC60B22}" id="{5F945C9D-A9D4-473A-9635-E39C136CA3B7}">
    <text>売り手が会計初期基準を「出荷日」で行う場合は、買い手から「仕入明細」を待たずとも売上帳に記帳されていることがあります。「仕入明細」を待って記帳するときにはこの日付を使います。
IID229があるのでこの項目は不要です。</text>
  </threadedComment>
  <threadedComment ref="F333" dT="2025-10-28T01:44:49.15" personId="{D27B0D0B-085F-4EC1-841E-11D1DCC60B22}" id="{8B6061CD-9DBF-408C-B037-261287FBD8F2}">
    <text>「出荷」が日本語として解釈の余地がある（売り手が出荷したことをだれがだれに回答するのかと解釈される）ので、「受領結果通知書」へ変更されてはいかがでしょうか。あるいは、「検収結果通知」や「入荷受領通知」など。</text>
  </threadedComment>
  <threadedComment ref="G333" dT="2025-10-28T01:47:12.05" personId="{D27B0D0B-085F-4EC1-841E-11D1DCC60B22}" id="{8EBB629E-5B0E-4282-8B46-AF21E0F5C6B2}">
    <text xml:space="preserve">CCL D24A Definition "The Cross Industry (CI) receiving advice document referenced from this CIIL supply chain trade delivery."ですから、
本 CIIL サプライチェーン取引配送に紐づき参照される、CI 受領通知（Receiving Advice）文書。 </text>
  </threadedComment>
  <threadedComment ref="H349" dT="2025-10-27T23:15:16.25" personId="{D27B0D0B-085F-4EC1-841E-11D1DCC60B22}" id="{CBAAA1B1-56A3-4811-AB10-DBC822EBE9BE}">
    <text>ひとつの返金には一つの消費税が対応すると考えますので、0..nでなく0..1。</text>
  </threadedComment>
  <threadedComment ref="H360" dT="2025-10-27T23:15:16.25" personId="{D27B0D0B-085F-4EC1-841E-11D1DCC60B22}" id="{760AF3EB-9FC9-44AF-969A-0547A0256EE3}">
    <text>ひとつの追加請求には一つの消費税が対応すると考えますので、0..nでなく0..1。</text>
  </threadedComment>
  <threadedComment ref="F377" dT="2025-10-29T05:44:15.88" personId="{D27B0D0B-085F-4EC1-841E-11D1DCC60B22}" id="{272709BE-A9CC-4AC2-B8C4-9F69770AAEF9}">
    <text>文書通貨の税と会計通貨の税は、課税分類税通貨コードがどちらかを条件に明細文書ヘッダ／明細文書ヘッダ税グループを区別することで可能なので、税額に通貨コードを定義するより課税分類税通貨コードを条件にASBIEを区別するほうが実装が容易です。</text>
  </threadedComment>
  <threadedComment ref="M384" dT="2025-10-28T02:23:33.84" personId="{D27B0D0B-085F-4EC1-841E-11D1DCC60B22}" id="{401469FA-3A58-4C15-9700-71A10167A256}">
    <text>記帳する日付があるので不要です。</text>
  </threadedComment>
  <threadedComment ref="M390" dT="2025-10-28T02:28:04.44" personId="{D27B0D0B-085F-4EC1-841E-11D1DCC60B22}" id="{40660850-149B-4D79-A7B3-F25E4AF444CF}">
    <text>合計税額は記帳対象ではありません、税率別の合計金額を記帳します。</text>
  </threadedComment>
  <threadedComment ref="M391" dT="2025-10-28T02:25:58.31" personId="{D27B0D0B-085F-4EC1-841E-11D1DCC60B22}" id="{0BB09F28-4FF7-48C6-A44F-E9756C6CA064}">
    <text>外貨建ての場合は、こちらの金額を記帳します。その場合、SIID275は使用しません。</text>
  </threadedComment>
  <threadedComment ref="F411" dT="2025-10-29T05:58:58.48" personId="{D27B0D0B-085F-4EC1-841E-11D1DCC60B22}" id="{652BD3BF-A58C-4F34-AB49-7F499C828920}">
    <text>必要であれば、添付バイナリファイル用のASBIEを定義してください。</text>
  </threadedComment>
  <threadedComment ref="M427" dT="2025-10-28T02:29:19.25" personId="{D27B0D0B-085F-4EC1-841E-11D1DCC60B22}" id="{D511A239-DA89-45FD-80D9-0FE7C84438E4}">
    <text>明細行データは記帳しません。</text>
  </threadedComment>
  <threadedComment ref="F433" dT="2025-10-29T06:13:46.04" personId="{D27B0D0B-085F-4EC1-841E-11D1DCC60B22}" id="{65F75BB1-5676-471A-91CD-DE02AE39FD36}">
    <text>CIILB_ Subordinate_ Trade Line Item. Detailsの下位のASBIEでは、Productが先頭です。</text>
  </threadedComment>
  <threadedComment ref="F471" dT="2025-10-29T06:26:38.41" personId="{D27B0D0B-085F-4EC1-841E-11D1DCC60B22}" id="{3B03F834-02A1-4863-A952-BC3849083F0D}">
    <text>必要であれば、添付バイナリファイル用のASBIEを定義してください。</text>
  </threadedComment>
  <threadedComment ref="F565" dT="2025-10-29T06:50:49.64" personId="{D27B0D0B-085F-4EC1-841E-11D1DCC60B22}" id="{42985624-D57A-4AA0-A9B2-5DF09245A1E8}">
    <text>明細行レベルのデータは、仕訳日記帳に記帳しません。</text>
  </threadedComment>
  <threadedComment ref="F569" dT="2025-10-29T06:16:57.31" personId="{D27B0D0B-085F-4EC1-841E-11D1DCC60B22}" id="{3A3239A8-71C4-4FCA-806A-BC3CBB7637E8}">
    <text>明細行の最後のASBIEが注釈です。</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5B879-24FB-41B7-A290-1B8C3324C587}">
  <sheetPr>
    <pageSetUpPr fitToPage="1"/>
  </sheetPr>
  <dimension ref="A1:F232"/>
  <sheetViews>
    <sheetView workbookViewId="0">
      <pane ySplit="1" topLeftCell="A21" activePane="bottomLeft" state="frozen"/>
      <selection pane="bottomLeft" activeCell="F36" sqref="F36"/>
    </sheetView>
  </sheetViews>
  <sheetFormatPr defaultRowHeight="13.5"/>
  <cols>
    <col min="1" max="1" width="10.25" style="98" customWidth="1"/>
    <col min="2" max="3" width="36.875" style="98" customWidth="1"/>
    <col min="4" max="5" width="4.625" style="99" customWidth="1"/>
    <col min="6" max="6" width="85" style="98" customWidth="1"/>
    <col min="7" max="16384" width="9" style="98"/>
  </cols>
  <sheetData>
    <row r="1" spans="1:6" ht="48.75">
      <c r="A1" s="96" t="s">
        <v>2185</v>
      </c>
      <c r="B1" s="96" t="s">
        <v>2186</v>
      </c>
      <c r="C1" s="96" t="s">
        <v>2187</v>
      </c>
      <c r="D1" s="97" t="s">
        <v>2188</v>
      </c>
      <c r="E1" s="97" t="s">
        <v>2189</v>
      </c>
      <c r="F1" s="96" t="s">
        <v>2190</v>
      </c>
    </row>
    <row r="2" spans="1:6">
      <c r="A2" s="98" t="s">
        <v>2191</v>
      </c>
      <c r="B2" s="98" t="s">
        <v>2192</v>
      </c>
      <c r="C2" s="98" t="s">
        <v>2193</v>
      </c>
      <c r="E2" s="99" t="s">
        <v>31</v>
      </c>
      <c r="F2" s="98" t="s">
        <v>2194</v>
      </c>
    </row>
    <row r="3" spans="1:6">
      <c r="A3" s="98" t="s">
        <v>2011</v>
      </c>
      <c r="B3" s="98" t="s">
        <v>2195</v>
      </c>
      <c r="C3" s="98" t="s">
        <v>2196</v>
      </c>
      <c r="D3" s="99" t="s">
        <v>31</v>
      </c>
      <c r="E3" s="99" t="s">
        <v>31</v>
      </c>
      <c r="F3" s="98" t="s">
        <v>2197</v>
      </c>
    </row>
    <row r="4" spans="1:6">
      <c r="A4" s="98" t="s">
        <v>1997</v>
      </c>
      <c r="B4" s="98" t="s">
        <v>2198</v>
      </c>
      <c r="C4" s="98" t="s">
        <v>2199</v>
      </c>
      <c r="D4" s="99" t="s">
        <v>31</v>
      </c>
      <c r="E4" s="99" t="s">
        <v>31</v>
      </c>
      <c r="F4" s="98" t="s">
        <v>2200</v>
      </c>
    </row>
    <row r="5" spans="1:6">
      <c r="A5" s="98" t="s">
        <v>2201</v>
      </c>
      <c r="B5" s="98" t="s">
        <v>2202</v>
      </c>
      <c r="C5" s="98" t="s">
        <v>2203</v>
      </c>
      <c r="D5" s="99" t="s">
        <v>8</v>
      </c>
      <c r="E5" s="99" t="s">
        <v>8</v>
      </c>
      <c r="F5" s="98" t="s">
        <v>2204</v>
      </c>
    </row>
    <row r="6" spans="1:6">
      <c r="A6" s="98" t="s">
        <v>2002</v>
      </c>
      <c r="B6" s="98" t="s">
        <v>2205</v>
      </c>
      <c r="C6" s="98" t="s">
        <v>2206</v>
      </c>
      <c r="D6" s="99" t="s">
        <v>31</v>
      </c>
      <c r="E6" s="99" t="s">
        <v>31</v>
      </c>
      <c r="F6" s="98" t="s">
        <v>2207</v>
      </c>
    </row>
    <row r="7" spans="1:6">
      <c r="A7" s="98" t="s">
        <v>1696</v>
      </c>
      <c r="B7" s="98" t="s">
        <v>2208</v>
      </c>
      <c r="C7" s="98" t="s">
        <v>2209</v>
      </c>
      <c r="D7" s="99" t="s">
        <v>31</v>
      </c>
      <c r="E7" s="99" t="s">
        <v>31</v>
      </c>
      <c r="F7" s="98" t="s">
        <v>2210</v>
      </c>
    </row>
    <row r="8" spans="1:6">
      <c r="A8" s="98" t="s">
        <v>1701</v>
      </c>
      <c r="B8" s="98" t="s">
        <v>2211</v>
      </c>
      <c r="C8" s="98" t="s">
        <v>2212</v>
      </c>
      <c r="D8" s="99" t="s">
        <v>8</v>
      </c>
      <c r="E8" s="99" t="s">
        <v>8</v>
      </c>
      <c r="F8" s="98" t="s">
        <v>2213</v>
      </c>
    </row>
    <row r="9" spans="1:6">
      <c r="A9" s="98" t="s">
        <v>2214</v>
      </c>
      <c r="B9" s="98" t="s">
        <v>2215</v>
      </c>
      <c r="C9" s="98" t="s">
        <v>2216</v>
      </c>
      <c r="D9" s="99" t="s">
        <v>8</v>
      </c>
      <c r="E9" s="99" t="s">
        <v>8</v>
      </c>
      <c r="F9" s="98" t="s">
        <v>2217</v>
      </c>
    </row>
    <row r="10" spans="1:6">
      <c r="A10" s="98" t="s">
        <v>2218</v>
      </c>
      <c r="B10" s="98" t="s">
        <v>2219</v>
      </c>
      <c r="C10" s="98" t="s">
        <v>2220</v>
      </c>
      <c r="D10" s="99" t="s">
        <v>8</v>
      </c>
      <c r="E10" s="99" t="s">
        <v>8</v>
      </c>
      <c r="F10" s="98" t="s">
        <v>2221</v>
      </c>
    </row>
    <row r="11" spans="1:6">
      <c r="A11" s="98" t="s">
        <v>1279</v>
      </c>
      <c r="B11" s="98" t="s">
        <v>2222</v>
      </c>
      <c r="C11" s="98" t="s">
        <v>1283</v>
      </c>
      <c r="D11" s="99" t="s">
        <v>8</v>
      </c>
      <c r="E11" s="99" t="s">
        <v>8</v>
      </c>
      <c r="F11" s="98" t="s">
        <v>2223</v>
      </c>
    </row>
    <row r="12" spans="1:6">
      <c r="A12" s="98" t="s">
        <v>2224</v>
      </c>
      <c r="B12" s="98" t="s">
        <v>2225</v>
      </c>
      <c r="C12" s="98" t="s">
        <v>2226</v>
      </c>
      <c r="D12" s="99" t="s">
        <v>8</v>
      </c>
      <c r="E12" s="99" t="s">
        <v>8</v>
      </c>
      <c r="F12" s="98" t="s">
        <v>2227</v>
      </c>
    </row>
    <row r="13" spans="1:6">
      <c r="A13" s="98" t="s">
        <v>1709</v>
      </c>
      <c r="B13" s="98" t="s">
        <v>2228</v>
      </c>
      <c r="C13" s="98" t="s">
        <v>2229</v>
      </c>
      <c r="D13" s="99" t="s">
        <v>8</v>
      </c>
      <c r="E13" s="99" t="s">
        <v>31</v>
      </c>
      <c r="F13" s="98" t="s">
        <v>2230</v>
      </c>
    </row>
    <row r="14" spans="1:6">
      <c r="A14" s="98" t="s">
        <v>1042</v>
      </c>
      <c r="B14" s="98" t="s">
        <v>2231</v>
      </c>
      <c r="C14" s="98" t="s">
        <v>2232</v>
      </c>
      <c r="D14" s="99" t="s">
        <v>8</v>
      </c>
      <c r="E14" s="99" t="s">
        <v>31</v>
      </c>
      <c r="F14" s="98" t="s">
        <v>2233</v>
      </c>
    </row>
    <row r="15" spans="1:6">
      <c r="A15" s="98" t="s">
        <v>1058</v>
      </c>
      <c r="B15" s="98" t="s">
        <v>2234</v>
      </c>
      <c r="C15" s="98" t="s">
        <v>2235</v>
      </c>
      <c r="D15" s="99" t="s">
        <v>8</v>
      </c>
      <c r="E15" s="99" t="s">
        <v>31</v>
      </c>
      <c r="F15" s="98" t="s">
        <v>2236</v>
      </c>
    </row>
    <row r="16" spans="1:6">
      <c r="A16" s="98" t="s">
        <v>1072</v>
      </c>
      <c r="B16" s="98" t="s">
        <v>2237</v>
      </c>
      <c r="C16" s="98" t="s">
        <v>2238</v>
      </c>
      <c r="D16" s="99" t="s">
        <v>8</v>
      </c>
      <c r="E16" s="99" t="s">
        <v>8</v>
      </c>
      <c r="F16" s="98" t="s">
        <v>2239</v>
      </c>
    </row>
    <row r="17" spans="1:6">
      <c r="A17" s="98" t="s">
        <v>945</v>
      </c>
      <c r="B17" s="98" t="s">
        <v>2240</v>
      </c>
      <c r="C17" s="98" t="s">
        <v>2241</v>
      </c>
      <c r="D17" s="99" t="s">
        <v>8</v>
      </c>
      <c r="E17" s="99" t="s">
        <v>31</v>
      </c>
      <c r="F17" s="98" t="s">
        <v>2242</v>
      </c>
    </row>
    <row r="18" spans="1:6">
      <c r="A18" s="98" t="s">
        <v>969</v>
      </c>
      <c r="B18" s="98" t="s">
        <v>2243</v>
      </c>
      <c r="C18" s="98" t="s">
        <v>2244</v>
      </c>
      <c r="D18" s="99" t="s">
        <v>8</v>
      </c>
      <c r="E18" s="99" t="s">
        <v>31</v>
      </c>
      <c r="F18" s="98" t="s">
        <v>2245</v>
      </c>
    </row>
    <row r="19" spans="1:6">
      <c r="A19" s="98" t="s">
        <v>687</v>
      </c>
      <c r="B19" s="98" t="s">
        <v>2246</v>
      </c>
      <c r="C19" s="98" t="s">
        <v>2247</v>
      </c>
      <c r="D19" s="99" t="s">
        <v>8</v>
      </c>
      <c r="E19" s="99" t="s">
        <v>31</v>
      </c>
      <c r="F19" s="98" t="s">
        <v>2248</v>
      </c>
    </row>
    <row r="20" spans="1:6">
      <c r="A20" s="98" t="s">
        <v>706</v>
      </c>
      <c r="B20" s="98" t="s">
        <v>2249</v>
      </c>
      <c r="C20" s="98" t="s">
        <v>2250</v>
      </c>
      <c r="D20" s="99" t="s">
        <v>8</v>
      </c>
      <c r="E20" s="99" t="s">
        <v>31</v>
      </c>
      <c r="F20" s="98" t="s">
        <v>2251</v>
      </c>
    </row>
    <row r="21" spans="1:6">
      <c r="A21" s="98" t="s">
        <v>694</v>
      </c>
      <c r="B21" s="98" t="s">
        <v>2252</v>
      </c>
      <c r="C21" s="98" t="s">
        <v>2253</v>
      </c>
      <c r="D21" s="99" t="s">
        <v>8</v>
      </c>
      <c r="E21" s="99" t="s">
        <v>8</v>
      </c>
      <c r="F21" s="98" t="s">
        <v>2254</v>
      </c>
    </row>
    <row r="22" spans="1:6">
      <c r="A22" s="98" t="s">
        <v>617</v>
      </c>
      <c r="B22" s="98" t="s">
        <v>2255</v>
      </c>
      <c r="C22" s="98" t="s">
        <v>2256</v>
      </c>
      <c r="D22" s="99" t="s">
        <v>8</v>
      </c>
      <c r="E22" s="99" t="s">
        <v>8</v>
      </c>
      <c r="F22" s="98" t="s">
        <v>2257</v>
      </c>
    </row>
    <row r="23" spans="1:6">
      <c r="A23" s="98" t="s">
        <v>2073</v>
      </c>
      <c r="B23" s="98" t="s">
        <v>2258</v>
      </c>
      <c r="C23" s="98" t="s">
        <v>2259</v>
      </c>
      <c r="D23" s="99" t="s">
        <v>8</v>
      </c>
      <c r="E23" s="99" t="s">
        <v>31</v>
      </c>
    </row>
    <row r="24" spans="1:6">
      <c r="A24" s="98" t="s">
        <v>2068</v>
      </c>
      <c r="B24" s="98" t="s">
        <v>2260</v>
      </c>
      <c r="C24" s="98" t="s">
        <v>2261</v>
      </c>
      <c r="D24" s="99" t="s">
        <v>8</v>
      </c>
      <c r="E24" s="99" t="s">
        <v>31</v>
      </c>
      <c r="F24" s="98" t="s">
        <v>2262</v>
      </c>
    </row>
    <row r="25" spans="1:6">
      <c r="A25" s="98" t="s">
        <v>2062</v>
      </c>
      <c r="B25" s="98" t="s">
        <v>2263</v>
      </c>
      <c r="C25" s="98" t="s">
        <v>2264</v>
      </c>
      <c r="D25" s="99" t="s">
        <v>8</v>
      </c>
      <c r="E25" s="99" t="s">
        <v>31</v>
      </c>
      <c r="F25" s="98" t="s">
        <v>2265</v>
      </c>
    </row>
    <row r="26" spans="1:6">
      <c r="A26" s="98" t="s">
        <v>1297</v>
      </c>
      <c r="B26" s="98" t="s">
        <v>2266</v>
      </c>
      <c r="C26" s="98" t="s">
        <v>2267</v>
      </c>
      <c r="D26" s="99" t="s">
        <v>43</v>
      </c>
      <c r="E26" s="99" t="s">
        <v>43</v>
      </c>
      <c r="F26" s="98" t="s">
        <v>2268</v>
      </c>
    </row>
    <row r="27" spans="1:6">
      <c r="A27" s="98" t="s">
        <v>1292</v>
      </c>
      <c r="B27" s="98" t="s">
        <v>2816</v>
      </c>
      <c r="C27" s="98" t="s">
        <v>2269</v>
      </c>
      <c r="D27" s="99" t="s">
        <v>8</v>
      </c>
      <c r="E27" s="99" t="s">
        <v>8</v>
      </c>
      <c r="F27" s="98" t="s">
        <v>2270</v>
      </c>
    </row>
    <row r="28" spans="1:6">
      <c r="A28" s="98" t="s">
        <v>1285</v>
      </c>
      <c r="B28" s="98" t="s">
        <v>2817</v>
      </c>
      <c r="C28" s="98" t="s">
        <v>2267</v>
      </c>
      <c r="D28" s="99" t="s">
        <v>8</v>
      </c>
      <c r="E28" s="99" t="s">
        <v>8</v>
      </c>
      <c r="F28" s="98" t="s">
        <v>2271</v>
      </c>
    </row>
    <row r="29" spans="1:6">
      <c r="A29" s="98" t="s">
        <v>1270</v>
      </c>
      <c r="B29" s="98" t="s">
        <v>2818</v>
      </c>
      <c r="C29" s="98" t="s">
        <v>1273</v>
      </c>
      <c r="D29" s="99" t="s">
        <v>8</v>
      </c>
      <c r="E29" s="99" t="s">
        <v>8</v>
      </c>
      <c r="F29" s="98" t="s">
        <v>2272</v>
      </c>
    </row>
    <row r="30" spans="1:6">
      <c r="A30" s="98" t="s">
        <v>2273</v>
      </c>
      <c r="B30" s="98" t="s">
        <v>2819</v>
      </c>
      <c r="C30" s="98" t="s">
        <v>2274</v>
      </c>
      <c r="D30" s="99" t="s">
        <v>8</v>
      </c>
      <c r="E30" s="99" t="s">
        <v>8</v>
      </c>
      <c r="F30" s="98" t="s">
        <v>2275</v>
      </c>
    </row>
    <row r="31" spans="1:6">
      <c r="A31" s="98" t="s">
        <v>1957</v>
      </c>
      <c r="B31" s="98" t="s">
        <v>2276</v>
      </c>
      <c r="C31" s="98" t="s">
        <v>2277</v>
      </c>
      <c r="D31" s="99" t="s">
        <v>8</v>
      </c>
      <c r="E31" s="99" t="s">
        <v>8</v>
      </c>
      <c r="F31" s="98" t="s">
        <v>2278</v>
      </c>
    </row>
    <row r="32" spans="1:6">
      <c r="A32" s="98" t="s">
        <v>664</v>
      </c>
      <c r="B32" s="98" t="s">
        <v>2279</v>
      </c>
      <c r="C32" s="98" t="s">
        <v>2280</v>
      </c>
      <c r="D32" s="99" t="s">
        <v>43</v>
      </c>
      <c r="E32" s="99" t="s">
        <v>43</v>
      </c>
      <c r="F32" s="98" t="s">
        <v>2281</v>
      </c>
    </row>
    <row r="33" spans="1:6">
      <c r="A33" s="98" t="s">
        <v>660</v>
      </c>
      <c r="B33" s="98" t="s">
        <v>2820</v>
      </c>
      <c r="C33" s="98" t="s">
        <v>2280</v>
      </c>
      <c r="D33" s="99" t="s">
        <v>31</v>
      </c>
      <c r="E33" s="99" t="s">
        <v>31</v>
      </c>
      <c r="F33" s="98" t="s">
        <v>2282</v>
      </c>
    </row>
    <row r="34" spans="1:6">
      <c r="A34" s="98" t="s">
        <v>652</v>
      </c>
      <c r="B34" s="98" t="s">
        <v>2821</v>
      </c>
      <c r="C34" s="98" t="s">
        <v>2283</v>
      </c>
      <c r="D34" s="99" t="s">
        <v>8</v>
      </c>
      <c r="E34" s="99" t="s">
        <v>8</v>
      </c>
      <c r="F34" s="98" t="s">
        <v>2284</v>
      </c>
    </row>
    <row r="35" spans="1:6">
      <c r="A35" s="98" t="s">
        <v>1881</v>
      </c>
      <c r="B35" s="98" t="s">
        <v>1880</v>
      </c>
      <c r="C35" s="98" t="s">
        <v>2285</v>
      </c>
      <c r="D35" s="99" t="s">
        <v>31</v>
      </c>
      <c r="E35" s="99" t="s">
        <v>31</v>
      </c>
      <c r="F35" s="98" t="s">
        <v>2286</v>
      </c>
    </row>
    <row r="36" spans="1:6">
      <c r="A36" s="98" t="s">
        <v>1869</v>
      </c>
      <c r="B36" s="98" t="s">
        <v>2822</v>
      </c>
      <c r="C36" s="98" t="s">
        <v>2287</v>
      </c>
      <c r="D36" s="99" t="s">
        <v>31</v>
      </c>
      <c r="E36" s="99" t="s">
        <v>31</v>
      </c>
      <c r="F36" s="98" t="s">
        <v>2288</v>
      </c>
    </row>
    <row r="37" spans="1:6">
      <c r="A37" s="98" t="s">
        <v>2289</v>
      </c>
      <c r="B37" s="98" t="s">
        <v>2823</v>
      </c>
      <c r="C37" s="98" t="s">
        <v>2290</v>
      </c>
      <c r="D37" s="99" t="s">
        <v>8</v>
      </c>
      <c r="E37" s="99" t="s">
        <v>31</v>
      </c>
      <c r="F37" s="98" t="s">
        <v>2291</v>
      </c>
    </row>
    <row r="38" spans="1:6">
      <c r="A38" s="98" t="s">
        <v>1876</v>
      </c>
      <c r="B38" s="98" t="s">
        <v>2824</v>
      </c>
      <c r="C38" s="98" t="s">
        <v>2292</v>
      </c>
      <c r="D38" s="99" t="s">
        <v>43</v>
      </c>
      <c r="E38" s="99" t="s">
        <v>31</v>
      </c>
      <c r="F38" s="98" t="s">
        <v>2293</v>
      </c>
    </row>
    <row r="39" spans="1:6">
      <c r="A39" s="98" t="s">
        <v>1873</v>
      </c>
      <c r="B39" s="98" t="s">
        <v>2825</v>
      </c>
      <c r="C39" s="98" t="s">
        <v>2294</v>
      </c>
      <c r="D39" s="99" t="s">
        <v>8</v>
      </c>
      <c r="E39" s="99" t="s">
        <v>8</v>
      </c>
      <c r="F39" s="98" t="s">
        <v>2295</v>
      </c>
    </row>
    <row r="40" spans="1:6">
      <c r="A40" s="98" t="s">
        <v>1863</v>
      </c>
      <c r="B40" s="98" t="s">
        <v>2826</v>
      </c>
      <c r="C40" s="98" t="s">
        <v>2296</v>
      </c>
      <c r="D40" s="99" t="s">
        <v>8</v>
      </c>
      <c r="E40" s="99">
        <v>0</v>
      </c>
      <c r="F40" s="98" t="s">
        <v>2297</v>
      </c>
    </row>
    <row r="41" spans="1:6">
      <c r="A41" s="98" t="s">
        <v>2298</v>
      </c>
      <c r="B41" s="98" t="s">
        <v>2827</v>
      </c>
      <c r="C41" s="98" t="s">
        <v>2299</v>
      </c>
      <c r="D41" s="99" t="s">
        <v>8</v>
      </c>
      <c r="E41" s="99" t="s">
        <v>31</v>
      </c>
      <c r="F41" s="98" t="s">
        <v>2300</v>
      </c>
    </row>
    <row r="42" spans="1:6">
      <c r="A42" s="98" t="s">
        <v>2301</v>
      </c>
      <c r="B42" s="98" t="s">
        <v>2828</v>
      </c>
      <c r="C42" s="98" t="s">
        <v>2302</v>
      </c>
      <c r="D42" s="99" t="s">
        <v>8</v>
      </c>
      <c r="E42" s="99" t="s">
        <v>8</v>
      </c>
      <c r="F42" s="98" t="s">
        <v>2303</v>
      </c>
    </row>
    <row r="43" spans="1:6">
      <c r="A43" s="98" t="s">
        <v>1806</v>
      </c>
      <c r="B43" s="98" t="s">
        <v>2829</v>
      </c>
      <c r="C43" s="98" t="s">
        <v>2304</v>
      </c>
      <c r="D43" s="99" t="s">
        <v>31</v>
      </c>
      <c r="E43" s="99" t="s">
        <v>31</v>
      </c>
      <c r="F43" s="98" t="s">
        <v>2305</v>
      </c>
    </row>
    <row r="44" spans="1:6">
      <c r="A44" s="98" t="s">
        <v>1804</v>
      </c>
      <c r="B44" s="98" t="s">
        <v>2830</v>
      </c>
      <c r="C44" s="98" t="s">
        <v>2306</v>
      </c>
      <c r="D44" s="99" t="s">
        <v>8</v>
      </c>
      <c r="E44" s="99" t="s">
        <v>31</v>
      </c>
      <c r="F44" s="98" t="s">
        <v>2307</v>
      </c>
    </row>
    <row r="45" spans="1:6">
      <c r="A45" s="98" t="s">
        <v>1831</v>
      </c>
      <c r="B45" s="98" t="s">
        <v>2831</v>
      </c>
      <c r="C45" s="98" t="s">
        <v>2308</v>
      </c>
      <c r="D45" s="99" t="s">
        <v>31</v>
      </c>
      <c r="E45" s="99" t="s">
        <v>31</v>
      </c>
      <c r="F45" s="98" t="s">
        <v>2309</v>
      </c>
    </row>
    <row r="46" spans="1:6">
      <c r="A46" s="98" t="s">
        <v>1823</v>
      </c>
      <c r="B46" s="98" t="s">
        <v>2832</v>
      </c>
      <c r="C46" s="98" t="s">
        <v>2310</v>
      </c>
      <c r="D46" s="99" t="s">
        <v>8</v>
      </c>
      <c r="E46" s="99" t="s">
        <v>8</v>
      </c>
      <c r="F46" s="98" t="s">
        <v>2311</v>
      </c>
    </row>
    <row r="47" spans="1:6">
      <c r="A47" s="98" t="s">
        <v>1819</v>
      </c>
      <c r="B47" s="98" t="s">
        <v>2833</v>
      </c>
      <c r="C47" s="98" t="s">
        <v>2312</v>
      </c>
      <c r="D47" s="99" t="s">
        <v>8</v>
      </c>
      <c r="E47" s="99" t="s">
        <v>8</v>
      </c>
      <c r="F47" s="98" t="s">
        <v>2313</v>
      </c>
    </row>
    <row r="48" spans="1:6">
      <c r="A48" s="98" t="s">
        <v>1815</v>
      </c>
      <c r="B48" s="98" t="s">
        <v>2834</v>
      </c>
      <c r="C48" s="98" t="s">
        <v>2314</v>
      </c>
      <c r="D48" s="99" t="s">
        <v>8</v>
      </c>
      <c r="E48" s="99" t="s">
        <v>31</v>
      </c>
      <c r="F48" s="98" t="s">
        <v>2315</v>
      </c>
    </row>
    <row r="49" spans="1:6">
      <c r="A49" s="98" t="s">
        <v>2316</v>
      </c>
      <c r="B49" s="98" t="s">
        <v>2835</v>
      </c>
      <c r="C49" s="98" t="s">
        <v>2317</v>
      </c>
      <c r="D49" s="99" t="s">
        <v>8</v>
      </c>
      <c r="E49" s="99" t="s">
        <v>8</v>
      </c>
      <c r="F49" s="98" t="s">
        <v>2318</v>
      </c>
    </row>
    <row r="50" spans="1:6">
      <c r="A50" s="98" t="s">
        <v>1827</v>
      </c>
      <c r="B50" s="98" t="s">
        <v>2836</v>
      </c>
      <c r="C50" s="98" t="s">
        <v>2319</v>
      </c>
      <c r="D50" s="99" t="s">
        <v>8</v>
      </c>
      <c r="E50" s="99" t="s">
        <v>8</v>
      </c>
      <c r="F50" s="98" t="s">
        <v>2320</v>
      </c>
    </row>
    <row r="51" spans="1:6">
      <c r="A51" s="98" t="s">
        <v>2321</v>
      </c>
      <c r="B51" s="98" t="s">
        <v>2837</v>
      </c>
      <c r="C51" s="98" t="s">
        <v>2322</v>
      </c>
      <c r="D51" s="99" t="s">
        <v>8</v>
      </c>
      <c r="E51" s="99" t="s">
        <v>8</v>
      </c>
      <c r="F51" s="98" t="s">
        <v>2323</v>
      </c>
    </row>
    <row r="52" spans="1:6">
      <c r="A52" s="98" t="s">
        <v>1811</v>
      </c>
      <c r="B52" s="98" t="s">
        <v>2838</v>
      </c>
      <c r="C52" s="98" t="s">
        <v>2324</v>
      </c>
      <c r="D52" s="99" t="s">
        <v>31</v>
      </c>
      <c r="E52" s="99" t="s">
        <v>31</v>
      </c>
      <c r="F52" s="98" t="s">
        <v>2325</v>
      </c>
    </row>
    <row r="53" spans="1:6">
      <c r="A53" s="98" t="s">
        <v>1858</v>
      </c>
      <c r="B53" s="98" t="s">
        <v>2839</v>
      </c>
      <c r="C53" s="98" t="s">
        <v>2326</v>
      </c>
      <c r="D53" s="99" t="s">
        <v>8</v>
      </c>
      <c r="E53" s="99" t="s">
        <v>8</v>
      </c>
      <c r="F53" s="98" t="s">
        <v>2327</v>
      </c>
    </row>
    <row r="54" spans="1:6">
      <c r="A54" s="98" t="s">
        <v>1848</v>
      </c>
      <c r="B54" s="98" t="s">
        <v>2840</v>
      </c>
      <c r="C54" s="98" t="s">
        <v>2326</v>
      </c>
      <c r="D54" s="99" t="s">
        <v>8</v>
      </c>
      <c r="E54" s="99" t="s">
        <v>8</v>
      </c>
      <c r="F54" s="98" t="s">
        <v>2328</v>
      </c>
    </row>
    <row r="55" spans="1:6">
      <c r="A55" s="98" t="s">
        <v>1841</v>
      </c>
      <c r="B55" s="98" t="s">
        <v>2841</v>
      </c>
      <c r="C55" s="98" t="s">
        <v>2329</v>
      </c>
      <c r="D55" s="99" t="s">
        <v>8</v>
      </c>
      <c r="E55" s="99" t="s">
        <v>8</v>
      </c>
      <c r="F55" s="98" t="s">
        <v>2330</v>
      </c>
    </row>
    <row r="56" spans="1:6">
      <c r="A56" s="98" t="s">
        <v>1834</v>
      </c>
      <c r="B56" s="98" t="s">
        <v>2842</v>
      </c>
      <c r="C56" s="98" t="s">
        <v>2331</v>
      </c>
      <c r="D56" s="99" t="s">
        <v>8</v>
      </c>
      <c r="E56" s="99" t="s">
        <v>8</v>
      </c>
      <c r="F56" s="98" t="s">
        <v>2332</v>
      </c>
    </row>
    <row r="57" spans="1:6">
      <c r="A57" s="98" t="s">
        <v>1800</v>
      </c>
      <c r="B57" s="98" t="s">
        <v>1799</v>
      </c>
      <c r="C57" s="98" t="s">
        <v>2333</v>
      </c>
      <c r="D57" s="99" t="s">
        <v>31</v>
      </c>
      <c r="E57" s="99" t="s">
        <v>31</v>
      </c>
      <c r="F57" s="98" t="s">
        <v>2334</v>
      </c>
    </row>
    <row r="58" spans="1:6">
      <c r="A58" s="98" t="s">
        <v>1787</v>
      </c>
      <c r="B58" s="98" t="s">
        <v>2843</v>
      </c>
      <c r="C58" s="98" t="s">
        <v>2335</v>
      </c>
      <c r="D58" s="99" t="s">
        <v>31</v>
      </c>
      <c r="E58" s="99" t="s">
        <v>31</v>
      </c>
      <c r="F58" s="98" t="s">
        <v>2336</v>
      </c>
    </row>
    <row r="59" spans="1:6">
      <c r="A59" s="98" t="s">
        <v>2337</v>
      </c>
      <c r="B59" s="98" t="s">
        <v>2844</v>
      </c>
      <c r="C59" s="98" t="s">
        <v>2338</v>
      </c>
      <c r="D59" s="99" t="s">
        <v>8</v>
      </c>
      <c r="E59" s="99" t="s">
        <v>31</v>
      </c>
      <c r="F59" s="98" t="s">
        <v>2339</v>
      </c>
    </row>
    <row r="60" spans="1:6">
      <c r="A60" s="98" t="s">
        <v>1795</v>
      </c>
      <c r="B60" s="98" t="s">
        <v>2845</v>
      </c>
      <c r="C60" s="98" t="s">
        <v>2340</v>
      </c>
      <c r="D60" s="99" t="s">
        <v>8</v>
      </c>
      <c r="E60" s="99" t="s">
        <v>31</v>
      </c>
      <c r="F60" s="98" t="s">
        <v>2341</v>
      </c>
    </row>
    <row r="61" spans="1:6">
      <c r="A61" s="98" t="s">
        <v>1791</v>
      </c>
      <c r="B61" s="98" t="s">
        <v>2846</v>
      </c>
      <c r="C61" s="98" t="s">
        <v>2342</v>
      </c>
      <c r="D61" s="99" t="s">
        <v>8</v>
      </c>
      <c r="E61" s="99" t="s">
        <v>8</v>
      </c>
      <c r="F61" s="98" t="s">
        <v>2343</v>
      </c>
    </row>
    <row r="62" spans="1:6">
      <c r="A62" s="98" t="s">
        <v>1783</v>
      </c>
      <c r="B62" s="98" t="s">
        <v>2847</v>
      </c>
      <c r="C62" s="98" t="s">
        <v>2344</v>
      </c>
      <c r="D62" s="99" t="s">
        <v>8</v>
      </c>
      <c r="E62" s="99" t="s">
        <v>31</v>
      </c>
      <c r="F62" s="98" t="s">
        <v>2345</v>
      </c>
    </row>
    <row r="63" spans="1:6">
      <c r="A63" s="98" t="s">
        <v>1724</v>
      </c>
      <c r="B63" s="98" t="s">
        <v>2848</v>
      </c>
      <c r="C63" s="98" t="s">
        <v>2346</v>
      </c>
      <c r="D63" s="99" t="s">
        <v>31</v>
      </c>
      <c r="E63" s="99" t="s">
        <v>31</v>
      </c>
      <c r="F63" s="98" t="s">
        <v>2347</v>
      </c>
    </row>
    <row r="64" spans="1:6">
      <c r="A64" s="98" t="s">
        <v>1722</v>
      </c>
      <c r="B64" s="98" t="s">
        <v>2830</v>
      </c>
      <c r="C64" s="98" t="s">
        <v>2306</v>
      </c>
      <c r="D64" s="99" t="s">
        <v>8</v>
      </c>
      <c r="E64" s="99" t="s">
        <v>31</v>
      </c>
      <c r="F64" s="98" t="s">
        <v>2348</v>
      </c>
    </row>
    <row r="65" spans="1:6">
      <c r="A65" s="98" t="s">
        <v>1750</v>
      </c>
      <c r="B65" s="98" t="s">
        <v>2849</v>
      </c>
      <c r="C65" s="98" t="s">
        <v>2349</v>
      </c>
      <c r="D65" s="99" t="s">
        <v>31</v>
      </c>
      <c r="E65" s="99" t="s">
        <v>31</v>
      </c>
      <c r="F65" s="98" t="s">
        <v>2350</v>
      </c>
    </row>
    <row r="66" spans="1:6">
      <c r="A66" s="98" t="s">
        <v>1742</v>
      </c>
      <c r="B66" s="98" t="s">
        <v>2850</v>
      </c>
      <c r="C66" s="98" t="s">
        <v>2351</v>
      </c>
      <c r="D66" s="99" t="s">
        <v>8</v>
      </c>
      <c r="E66" s="99" t="s">
        <v>8</v>
      </c>
      <c r="F66" s="98" t="s">
        <v>2352</v>
      </c>
    </row>
    <row r="67" spans="1:6">
      <c r="A67" s="98" t="s">
        <v>1738</v>
      </c>
      <c r="B67" s="98" t="s">
        <v>2851</v>
      </c>
      <c r="C67" s="98" t="s">
        <v>2353</v>
      </c>
      <c r="D67" s="99" t="s">
        <v>8</v>
      </c>
      <c r="E67" s="99" t="s">
        <v>8</v>
      </c>
      <c r="F67" s="98" t="s">
        <v>2354</v>
      </c>
    </row>
    <row r="68" spans="1:6">
      <c r="A68" s="98" t="s">
        <v>1734</v>
      </c>
      <c r="B68" s="98" t="s">
        <v>2852</v>
      </c>
      <c r="C68" s="98" t="s">
        <v>2355</v>
      </c>
      <c r="D68" s="99" t="s">
        <v>8</v>
      </c>
      <c r="E68" s="99" t="s">
        <v>31</v>
      </c>
      <c r="F68" s="98" t="s">
        <v>2356</v>
      </c>
    </row>
    <row r="69" spans="1:6">
      <c r="A69" s="98" t="s">
        <v>2357</v>
      </c>
      <c r="B69" s="98" t="s">
        <v>2853</v>
      </c>
      <c r="C69" s="98" t="s">
        <v>2358</v>
      </c>
      <c r="D69" s="99" t="s">
        <v>8</v>
      </c>
      <c r="E69" s="99" t="s">
        <v>8</v>
      </c>
      <c r="F69" s="98" t="s">
        <v>2359</v>
      </c>
    </row>
    <row r="70" spans="1:6">
      <c r="A70" s="98" t="s">
        <v>1746</v>
      </c>
      <c r="B70" s="98" t="s">
        <v>2854</v>
      </c>
      <c r="C70" s="98" t="s">
        <v>2360</v>
      </c>
      <c r="D70" s="99" t="s">
        <v>8</v>
      </c>
      <c r="E70" s="99" t="s">
        <v>8</v>
      </c>
      <c r="F70" s="98" t="s">
        <v>2361</v>
      </c>
    </row>
    <row r="71" spans="1:6">
      <c r="A71" s="98" t="s">
        <v>2362</v>
      </c>
      <c r="B71" s="98" t="s">
        <v>2855</v>
      </c>
      <c r="C71" s="98" t="s">
        <v>2363</v>
      </c>
      <c r="D71" s="99" t="s">
        <v>8</v>
      </c>
      <c r="E71" s="99" t="s">
        <v>8</v>
      </c>
      <c r="F71" s="98" t="s">
        <v>2364</v>
      </c>
    </row>
    <row r="72" spans="1:6">
      <c r="A72" s="98" t="s">
        <v>1730</v>
      </c>
      <c r="B72" s="98" t="s">
        <v>2856</v>
      </c>
      <c r="C72" s="98" t="s">
        <v>2365</v>
      </c>
      <c r="D72" s="99" t="s">
        <v>31</v>
      </c>
      <c r="E72" s="99" t="s">
        <v>31</v>
      </c>
      <c r="F72" s="98" t="s">
        <v>2366</v>
      </c>
    </row>
    <row r="73" spans="1:6">
      <c r="A73" s="98" t="s">
        <v>1778</v>
      </c>
      <c r="B73" s="98" t="s">
        <v>2857</v>
      </c>
      <c r="C73" s="98" t="s">
        <v>2367</v>
      </c>
      <c r="D73" s="99" t="s">
        <v>8</v>
      </c>
      <c r="E73" s="99" t="s">
        <v>8</v>
      </c>
      <c r="F73" s="98" t="s">
        <v>2368</v>
      </c>
    </row>
    <row r="74" spans="1:6">
      <c r="A74" s="98" t="s">
        <v>1767</v>
      </c>
      <c r="B74" s="98" t="s">
        <v>2858</v>
      </c>
      <c r="C74" s="98" t="s">
        <v>2367</v>
      </c>
      <c r="D74" s="99" t="s">
        <v>8</v>
      </c>
      <c r="E74" s="99" t="s">
        <v>8</v>
      </c>
      <c r="F74" s="98" t="s">
        <v>2369</v>
      </c>
    </row>
    <row r="75" spans="1:6">
      <c r="A75" s="98" t="s">
        <v>1760</v>
      </c>
      <c r="B75" s="98" t="s">
        <v>2859</v>
      </c>
      <c r="C75" s="98" t="s">
        <v>2370</v>
      </c>
      <c r="D75" s="99" t="s">
        <v>8</v>
      </c>
      <c r="E75" s="99" t="s">
        <v>8</v>
      </c>
      <c r="F75" s="98" t="s">
        <v>2371</v>
      </c>
    </row>
    <row r="76" spans="1:6">
      <c r="A76" s="98" t="s">
        <v>1753</v>
      </c>
      <c r="B76" s="98" t="s">
        <v>2860</v>
      </c>
      <c r="C76" s="98" t="s">
        <v>2372</v>
      </c>
      <c r="D76" s="99" t="s">
        <v>8</v>
      </c>
      <c r="E76" s="99" t="s">
        <v>8</v>
      </c>
      <c r="F76" s="98" t="s">
        <v>2373</v>
      </c>
    </row>
    <row r="77" spans="1:6">
      <c r="A77" s="98" t="s">
        <v>1568</v>
      </c>
      <c r="B77" s="98" t="s">
        <v>1567</v>
      </c>
      <c r="C77" s="98" t="s">
        <v>2374</v>
      </c>
      <c r="D77" s="99" t="s">
        <v>8</v>
      </c>
      <c r="E77" s="99" t="s">
        <v>8</v>
      </c>
      <c r="F77" s="98" t="s">
        <v>2375</v>
      </c>
    </row>
    <row r="78" spans="1:6">
      <c r="A78" s="98" t="s">
        <v>1555</v>
      </c>
      <c r="B78" s="98" t="s">
        <v>2861</v>
      </c>
      <c r="C78" s="98" t="s">
        <v>1557</v>
      </c>
      <c r="D78" s="99" t="s">
        <v>31</v>
      </c>
      <c r="E78" s="99" t="s">
        <v>31</v>
      </c>
      <c r="F78" s="98" t="s">
        <v>2376</v>
      </c>
    </row>
    <row r="79" spans="1:6">
      <c r="A79" s="98" t="s">
        <v>1563</v>
      </c>
      <c r="B79" s="98" t="s">
        <v>2862</v>
      </c>
      <c r="C79" s="98" t="s">
        <v>1565</v>
      </c>
      <c r="D79" s="99" t="s">
        <v>8</v>
      </c>
      <c r="E79" s="99" t="s">
        <v>31</v>
      </c>
      <c r="F79" s="98" t="s">
        <v>2377</v>
      </c>
    </row>
    <row r="80" spans="1:6">
      <c r="A80" s="98" t="s">
        <v>2378</v>
      </c>
      <c r="B80" s="98" t="s">
        <v>2863</v>
      </c>
      <c r="C80" s="98" t="s">
        <v>2306</v>
      </c>
      <c r="D80" s="99" t="s">
        <v>8</v>
      </c>
      <c r="E80" s="99" t="s">
        <v>8</v>
      </c>
      <c r="F80" s="98" t="s">
        <v>2379</v>
      </c>
    </row>
    <row r="81" spans="1:6">
      <c r="A81" s="98" t="s">
        <v>1559</v>
      </c>
      <c r="B81" s="98" t="s">
        <v>2864</v>
      </c>
      <c r="C81" s="98" t="s">
        <v>2380</v>
      </c>
      <c r="D81" s="99" t="s">
        <v>8</v>
      </c>
      <c r="E81" s="99" t="s">
        <v>31</v>
      </c>
      <c r="F81" s="98" t="s">
        <v>2381</v>
      </c>
    </row>
    <row r="82" spans="1:6">
      <c r="A82" s="98" t="s">
        <v>2382</v>
      </c>
      <c r="B82" s="98" t="s">
        <v>2383</v>
      </c>
      <c r="C82" s="98" t="s">
        <v>2384</v>
      </c>
      <c r="D82" s="99" t="s">
        <v>8</v>
      </c>
      <c r="E82" s="99" t="s">
        <v>8</v>
      </c>
      <c r="F82" s="98" t="s">
        <v>2385</v>
      </c>
    </row>
    <row r="83" spans="1:6">
      <c r="A83" s="98" t="s">
        <v>2386</v>
      </c>
      <c r="B83" s="98" t="s">
        <v>2865</v>
      </c>
      <c r="C83" s="98" t="s">
        <v>2387</v>
      </c>
      <c r="D83" s="99" t="s">
        <v>31</v>
      </c>
      <c r="E83" s="99" t="s">
        <v>31</v>
      </c>
      <c r="F83" s="98" t="s">
        <v>2388</v>
      </c>
    </row>
    <row r="84" spans="1:6">
      <c r="A84" s="98" t="s">
        <v>2389</v>
      </c>
      <c r="B84" s="98" t="s">
        <v>2866</v>
      </c>
      <c r="C84" s="98" t="s">
        <v>2390</v>
      </c>
      <c r="D84" s="99" t="s">
        <v>31</v>
      </c>
      <c r="E84" s="99" t="s">
        <v>31</v>
      </c>
      <c r="F84" s="98" t="s">
        <v>2391</v>
      </c>
    </row>
    <row r="85" spans="1:6">
      <c r="A85" s="98" t="s">
        <v>2392</v>
      </c>
      <c r="B85" s="98" t="s">
        <v>2867</v>
      </c>
      <c r="C85" s="98" t="s">
        <v>2393</v>
      </c>
      <c r="D85" s="99" t="s">
        <v>31</v>
      </c>
      <c r="E85" s="99" t="s">
        <v>31</v>
      </c>
      <c r="F85" s="98" t="s">
        <v>2394</v>
      </c>
    </row>
    <row r="86" spans="1:6">
      <c r="A86" s="98" t="s">
        <v>2395</v>
      </c>
      <c r="B86" s="98" t="s">
        <v>2868</v>
      </c>
      <c r="C86" s="98" t="s">
        <v>2396</v>
      </c>
      <c r="D86" s="99" t="s">
        <v>8</v>
      </c>
      <c r="E86" s="99" t="s">
        <v>8</v>
      </c>
      <c r="F86" s="98" t="s">
        <v>2397</v>
      </c>
    </row>
    <row r="87" spans="1:6">
      <c r="A87" s="98" t="s">
        <v>2398</v>
      </c>
      <c r="B87" s="98" t="s">
        <v>2869</v>
      </c>
      <c r="C87" s="98" t="s">
        <v>2399</v>
      </c>
      <c r="D87" s="99" t="s">
        <v>8</v>
      </c>
      <c r="E87" s="99" t="s">
        <v>8</v>
      </c>
      <c r="F87" s="98" t="s">
        <v>2400</v>
      </c>
    </row>
    <row r="88" spans="1:6">
      <c r="A88" s="98" t="s">
        <v>2401</v>
      </c>
      <c r="B88" s="98" t="s">
        <v>2870</v>
      </c>
      <c r="C88" s="98" t="s">
        <v>2402</v>
      </c>
      <c r="D88" s="99" t="s">
        <v>8</v>
      </c>
      <c r="E88" s="99" t="s">
        <v>31</v>
      </c>
      <c r="F88" s="98" t="s">
        <v>2403</v>
      </c>
    </row>
    <row r="89" spans="1:6">
      <c r="A89" s="98" t="s">
        <v>2404</v>
      </c>
      <c r="B89" s="98" t="s">
        <v>2871</v>
      </c>
      <c r="C89" s="98" t="s">
        <v>2405</v>
      </c>
      <c r="D89" s="99" t="s">
        <v>8</v>
      </c>
      <c r="E89" s="99" t="s">
        <v>8</v>
      </c>
      <c r="F89" s="98" t="s">
        <v>2406</v>
      </c>
    </row>
    <row r="90" spans="1:6">
      <c r="A90" s="98" t="s">
        <v>2407</v>
      </c>
      <c r="B90" s="98" t="s">
        <v>2872</v>
      </c>
      <c r="C90" s="98" t="s">
        <v>2408</v>
      </c>
      <c r="D90" s="99" t="s">
        <v>8</v>
      </c>
      <c r="E90" s="99" t="s">
        <v>8</v>
      </c>
      <c r="F90" s="98" t="s">
        <v>2409</v>
      </c>
    </row>
    <row r="91" spans="1:6">
      <c r="A91" s="98" t="s">
        <v>2410</v>
      </c>
      <c r="B91" s="98" t="s">
        <v>2873</v>
      </c>
      <c r="C91" s="98" t="s">
        <v>2411</v>
      </c>
      <c r="D91" s="99" t="s">
        <v>8</v>
      </c>
      <c r="E91" s="99" t="s">
        <v>8</v>
      </c>
      <c r="F91" s="98" t="s">
        <v>2412</v>
      </c>
    </row>
    <row r="92" spans="1:6">
      <c r="A92" s="98" t="s">
        <v>2413</v>
      </c>
      <c r="B92" s="98" t="s">
        <v>2874</v>
      </c>
      <c r="C92" s="98" t="s">
        <v>2414</v>
      </c>
      <c r="D92" s="99" t="s">
        <v>31</v>
      </c>
      <c r="E92" s="99" t="s">
        <v>31</v>
      </c>
      <c r="F92" s="98" t="s">
        <v>2415</v>
      </c>
    </row>
    <row r="93" spans="1:6">
      <c r="A93" s="98" t="s">
        <v>2416</v>
      </c>
      <c r="B93" s="98" t="s">
        <v>2417</v>
      </c>
      <c r="C93" s="98" t="s">
        <v>2418</v>
      </c>
      <c r="D93" s="99" t="s">
        <v>8</v>
      </c>
      <c r="E93" s="99" t="s">
        <v>8</v>
      </c>
      <c r="F93" s="98" t="s">
        <v>2419</v>
      </c>
    </row>
    <row r="94" spans="1:6">
      <c r="A94" s="98" t="s">
        <v>1015</v>
      </c>
      <c r="B94" s="98" t="s">
        <v>2875</v>
      </c>
      <c r="C94" s="98" t="s">
        <v>1018</v>
      </c>
      <c r="D94" s="99" t="s">
        <v>8</v>
      </c>
      <c r="E94" s="99" t="s">
        <v>31</v>
      </c>
      <c r="F94" s="98" t="s">
        <v>2420</v>
      </c>
    </row>
    <row r="95" spans="1:6">
      <c r="A95" s="98" t="s">
        <v>1020</v>
      </c>
      <c r="B95" s="98" t="s">
        <v>2876</v>
      </c>
      <c r="C95" s="98" t="s">
        <v>1028</v>
      </c>
      <c r="D95" s="99" t="s">
        <v>8</v>
      </c>
      <c r="E95" s="99" t="s">
        <v>8</v>
      </c>
      <c r="F95" s="98" t="s">
        <v>2421</v>
      </c>
    </row>
    <row r="96" spans="1:6">
      <c r="A96" s="98" t="s">
        <v>2422</v>
      </c>
      <c r="B96" s="98" t="s">
        <v>2863</v>
      </c>
      <c r="C96" s="98" t="s">
        <v>2306</v>
      </c>
      <c r="D96" s="99" t="s">
        <v>8</v>
      </c>
      <c r="E96" s="99" t="s">
        <v>8</v>
      </c>
      <c r="F96" s="98" t="s">
        <v>2423</v>
      </c>
    </row>
    <row r="97" spans="1:6">
      <c r="A97" s="98" t="s">
        <v>421</v>
      </c>
      <c r="B97" s="98" t="s">
        <v>2877</v>
      </c>
      <c r="C97" s="98" t="s">
        <v>2424</v>
      </c>
      <c r="D97" s="99" t="s">
        <v>8</v>
      </c>
      <c r="E97" s="99" t="s">
        <v>8</v>
      </c>
      <c r="F97" s="98" t="s">
        <v>2425</v>
      </c>
    </row>
    <row r="98" spans="1:6">
      <c r="A98" s="98" t="s">
        <v>771</v>
      </c>
      <c r="B98" s="98" t="s">
        <v>2878</v>
      </c>
      <c r="C98" s="98" t="s">
        <v>2426</v>
      </c>
      <c r="D98" s="99" t="s">
        <v>8</v>
      </c>
      <c r="E98" s="99" t="s">
        <v>8</v>
      </c>
      <c r="F98" s="98" t="s">
        <v>2427</v>
      </c>
    </row>
    <row r="99" spans="1:6">
      <c r="A99" s="98" t="s">
        <v>767</v>
      </c>
      <c r="B99" s="98" t="s">
        <v>2879</v>
      </c>
      <c r="C99" s="98" t="s">
        <v>2428</v>
      </c>
      <c r="D99" s="99" t="s">
        <v>8</v>
      </c>
      <c r="E99" s="99" t="s">
        <v>8</v>
      </c>
      <c r="F99" s="98" t="s">
        <v>2429</v>
      </c>
    </row>
    <row r="100" spans="1:6">
      <c r="A100" s="98" t="s">
        <v>762</v>
      </c>
      <c r="B100" s="98" t="s">
        <v>2880</v>
      </c>
      <c r="C100" s="98" t="s">
        <v>2430</v>
      </c>
      <c r="D100" s="99" t="s">
        <v>8</v>
      </c>
      <c r="E100" s="99" t="s">
        <v>8</v>
      </c>
      <c r="F100" s="98" t="s">
        <v>2431</v>
      </c>
    </row>
    <row r="101" spans="1:6">
      <c r="A101" s="98" t="s">
        <v>1011</v>
      </c>
      <c r="B101" s="98" t="s">
        <v>2881</v>
      </c>
      <c r="C101" s="98" t="s">
        <v>2432</v>
      </c>
      <c r="D101" s="99" t="s">
        <v>8</v>
      </c>
      <c r="E101" s="99" t="s">
        <v>8</v>
      </c>
      <c r="F101" s="98" t="s">
        <v>2433</v>
      </c>
    </row>
    <row r="102" spans="1:6">
      <c r="A102" s="98" t="s">
        <v>1001</v>
      </c>
      <c r="B102" s="98" t="s">
        <v>2882</v>
      </c>
      <c r="C102" s="98" t="s">
        <v>2434</v>
      </c>
      <c r="D102" s="99" t="s">
        <v>8</v>
      </c>
      <c r="E102" s="99" t="s">
        <v>8</v>
      </c>
      <c r="F102" s="98" t="s">
        <v>2435</v>
      </c>
    </row>
    <row r="103" spans="1:6">
      <c r="A103" s="98" t="s">
        <v>996</v>
      </c>
      <c r="B103" s="98" t="s">
        <v>2883</v>
      </c>
      <c r="C103" s="98" t="s">
        <v>2436</v>
      </c>
      <c r="D103" s="99" t="s">
        <v>8</v>
      </c>
      <c r="E103" s="99" t="s">
        <v>8</v>
      </c>
      <c r="F103" s="98" t="s">
        <v>2437</v>
      </c>
    </row>
    <row r="104" spans="1:6">
      <c r="A104" s="98" t="s">
        <v>991</v>
      </c>
      <c r="B104" s="98" t="s">
        <v>2884</v>
      </c>
      <c r="C104" s="98" t="s">
        <v>2438</v>
      </c>
      <c r="D104" s="99" t="s">
        <v>8</v>
      </c>
      <c r="E104" s="99" t="s">
        <v>31</v>
      </c>
      <c r="F104" s="98" t="s">
        <v>2439</v>
      </c>
    </row>
    <row r="105" spans="1:6">
      <c r="A105" s="98" t="s">
        <v>2440</v>
      </c>
      <c r="B105" s="98" t="s">
        <v>2885</v>
      </c>
      <c r="C105" s="98" t="s">
        <v>2441</v>
      </c>
      <c r="D105" s="99" t="s">
        <v>8</v>
      </c>
      <c r="E105" s="99" t="s">
        <v>8</v>
      </c>
      <c r="F105" s="98" t="s">
        <v>2442</v>
      </c>
    </row>
    <row r="106" spans="1:6">
      <c r="A106" s="98" t="s">
        <v>1006</v>
      </c>
      <c r="B106" s="98" t="s">
        <v>2886</v>
      </c>
      <c r="C106" s="98" t="s">
        <v>1009</v>
      </c>
      <c r="D106" s="99" t="s">
        <v>8</v>
      </c>
      <c r="E106" s="99" t="s">
        <v>8</v>
      </c>
      <c r="F106" s="98" t="s">
        <v>2443</v>
      </c>
    </row>
    <row r="107" spans="1:6">
      <c r="A107" s="98" t="s">
        <v>2444</v>
      </c>
      <c r="B107" s="98" t="s">
        <v>2887</v>
      </c>
      <c r="C107" s="98" t="s">
        <v>2445</v>
      </c>
      <c r="D107" s="99" t="s">
        <v>8</v>
      </c>
      <c r="E107" s="99" t="s">
        <v>8</v>
      </c>
      <c r="F107" s="98" t="s">
        <v>2446</v>
      </c>
    </row>
    <row r="108" spans="1:6">
      <c r="A108" s="98" t="s">
        <v>986</v>
      </c>
      <c r="B108" s="98" t="s">
        <v>2888</v>
      </c>
      <c r="C108" s="98" t="s">
        <v>2447</v>
      </c>
      <c r="D108" s="99" t="s">
        <v>31</v>
      </c>
      <c r="E108" s="99" t="s">
        <v>31</v>
      </c>
      <c r="F108" s="98" t="s">
        <v>2448</v>
      </c>
    </row>
    <row r="109" spans="1:6">
      <c r="A109" s="98" t="s">
        <v>1413</v>
      </c>
      <c r="B109" s="98" t="s">
        <v>2449</v>
      </c>
      <c r="C109" s="98" t="s">
        <v>2450</v>
      </c>
      <c r="D109" s="99" t="s">
        <v>43</v>
      </c>
      <c r="E109" s="99" t="s">
        <v>43</v>
      </c>
      <c r="F109" s="98" t="s">
        <v>2451</v>
      </c>
    </row>
    <row r="110" spans="1:6">
      <c r="A110" s="98" t="s">
        <v>2452</v>
      </c>
      <c r="B110" s="98" t="s">
        <v>2889</v>
      </c>
      <c r="C110" s="98" t="s">
        <v>2453</v>
      </c>
      <c r="D110" s="99" t="s">
        <v>8</v>
      </c>
      <c r="E110" s="99" t="s">
        <v>8</v>
      </c>
      <c r="F110" s="98" t="s">
        <v>2454</v>
      </c>
    </row>
    <row r="111" spans="1:6">
      <c r="A111" s="98" t="s">
        <v>1407</v>
      </c>
      <c r="B111" s="98" t="s">
        <v>2890</v>
      </c>
      <c r="C111" s="98" t="s">
        <v>1411</v>
      </c>
      <c r="D111" s="99" t="s">
        <v>31</v>
      </c>
      <c r="E111" s="99" t="s">
        <v>31</v>
      </c>
      <c r="F111" s="98" t="s">
        <v>2455</v>
      </c>
    </row>
    <row r="112" spans="1:6">
      <c r="A112" s="98" t="s">
        <v>1402</v>
      </c>
      <c r="B112" s="98" t="s">
        <v>2891</v>
      </c>
      <c r="C112" s="98" t="s">
        <v>2456</v>
      </c>
      <c r="D112" s="99" t="s">
        <v>8</v>
      </c>
      <c r="E112" s="99" t="s">
        <v>8</v>
      </c>
      <c r="F112" s="98" t="s">
        <v>2457</v>
      </c>
    </row>
    <row r="113" spans="1:6">
      <c r="A113" s="98" t="s">
        <v>2458</v>
      </c>
      <c r="B113" s="98" t="s">
        <v>2892</v>
      </c>
      <c r="C113" s="98" t="s">
        <v>2459</v>
      </c>
      <c r="D113" s="99" t="s">
        <v>43</v>
      </c>
      <c r="E113" s="99" t="s">
        <v>43</v>
      </c>
      <c r="F113" s="98" t="s">
        <v>2460</v>
      </c>
    </row>
    <row r="114" spans="1:6">
      <c r="A114" s="98" t="s">
        <v>1393</v>
      </c>
      <c r="B114" s="98" t="s">
        <v>2893</v>
      </c>
      <c r="C114" s="98" t="s">
        <v>2461</v>
      </c>
      <c r="D114" s="99" t="s">
        <v>8</v>
      </c>
      <c r="E114" s="99" t="s">
        <v>8</v>
      </c>
      <c r="F114" s="98" t="s">
        <v>2462</v>
      </c>
    </row>
    <row r="115" spans="1:6">
      <c r="A115" s="98" t="s">
        <v>1383</v>
      </c>
      <c r="B115" s="98" t="s">
        <v>2894</v>
      </c>
      <c r="C115" s="98" t="s">
        <v>2463</v>
      </c>
      <c r="D115" s="99" t="s">
        <v>31</v>
      </c>
      <c r="E115" s="99" t="s">
        <v>31</v>
      </c>
      <c r="F115" s="98" t="s">
        <v>2464</v>
      </c>
    </row>
    <row r="116" spans="1:6">
      <c r="A116" s="98" t="s">
        <v>2465</v>
      </c>
      <c r="B116" s="98" t="s">
        <v>2895</v>
      </c>
      <c r="C116" s="98" t="s">
        <v>2306</v>
      </c>
      <c r="D116" s="99" t="s">
        <v>8</v>
      </c>
      <c r="E116" s="99" t="s">
        <v>8</v>
      </c>
      <c r="F116" s="98" t="s">
        <v>2466</v>
      </c>
    </row>
    <row r="117" spans="1:6">
      <c r="A117" s="98" t="s">
        <v>1388</v>
      </c>
      <c r="B117" s="98" t="s">
        <v>2896</v>
      </c>
      <c r="C117" s="98" t="s">
        <v>2467</v>
      </c>
      <c r="D117" s="99" t="s">
        <v>8</v>
      </c>
      <c r="E117" s="99" t="s">
        <v>8</v>
      </c>
      <c r="F117" s="98" t="s">
        <v>2468</v>
      </c>
    </row>
    <row r="118" spans="1:6">
      <c r="A118" s="98" t="s">
        <v>2469</v>
      </c>
      <c r="B118" s="98" t="s">
        <v>2897</v>
      </c>
      <c r="C118" s="98" t="s">
        <v>2470</v>
      </c>
      <c r="D118" s="99" t="s">
        <v>8</v>
      </c>
      <c r="E118" s="99" t="s">
        <v>31</v>
      </c>
      <c r="F118" s="98" t="s">
        <v>2471</v>
      </c>
    </row>
    <row r="119" spans="1:6">
      <c r="A119" s="98" t="s">
        <v>2472</v>
      </c>
      <c r="B119" s="98" t="s">
        <v>2898</v>
      </c>
      <c r="C119" s="98" t="s">
        <v>2473</v>
      </c>
      <c r="D119" s="99" t="s">
        <v>8</v>
      </c>
      <c r="E119" s="99" t="s">
        <v>8</v>
      </c>
      <c r="F119" s="98" t="s">
        <v>2474</v>
      </c>
    </row>
    <row r="120" spans="1:6">
      <c r="A120" s="98" t="s">
        <v>2475</v>
      </c>
      <c r="B120" s="98" t="s">
        <v>2899</v>
      </c>
      <c r="C120" s="98" t="s">
        <v>2476</v>
      </c>
      <c r="D120" s="99" t="s">
        <v>8</v>
      </c>
      <c r="E120" s="99" t="s">
        <v>8</v>
      </c>
      <c r="F120" s="98" t="s">
        <v>2477</v>
      </c>
    </row>
    <row r="121" spans="1:6">
      <c r="A121" s="98" t="s">
        <v>2478</v>
      </c>
      <c r="B121" s="98" t="s">
        <v>2900</v>
      </c>
      <c r="C121" s="98" t="s">
        <v>2479</v>
      </c>
      <c r="D121" s="99" t="s">
        <v>8</v>
      </c>
      <c r="E121" s="99" t="s">
        <v>8</v>
      </c>
      <c r="F121" s="98" t="s">
        <v>2480</v>
      </c>
    </row>
    <row r="122" spans="1:6">
      <c r="A122" s="98" t="s">
        <v>2481</v>
      </c>
      <c r="B122" s="98" t="s">
        <v>2901</v>
      </c>
      <c r="C122" s="98" t="s">
        <v>2482</v>
      </c>
      <c r="D122" s="99" t="s">
        <v>8</v>
      </c>
      <c r="E122" s="99" t="s">
        <v>8</v>
      </c>
      <c r="F122" s="98" t="s">
        <v>2483</v>
      </c>
    </row>
    <row r="123" spans="1:6">
      <c r="A123" s="98" t="s">
        <v>2484</v>
      </c>
      <c r="B123" s="98" t="s">
        <v>2902</v>
      </c>
      <c r="C123" s="98" t="s">
        <v>2485</v>
      </c>
      <c r="D123" s="99" t="s">
        <v>8</v>
      </c>
      <c r="E123" s="99" t="s">
        <v>8</v>
      </c>
      <c r="F123" s="98" t="s">
        <v>2486</v>
      </c>
    </row>
    <row r="124" spans="1:6">
      <c r="A124" s="98" t="s">
        <v>2487</v>
      </c>
      <c r="B124" s="98" t="s">
        <v>2903</v>
      </c>
      <c r="C124" s="98" t="s">
        <v>2488</v>
      </c>
      <c r="D124" s="99" t="s">
        <v>8</v>
      </c>
      <c r="E124" s="99" t="s">
        <v>8</v>
      </c>
      <c r="F124" s="98" t="s">
        <v>2489</v>
      </c>
    </row>
    <row r="125" spans="1:6">
      <c r="A125" s="98" t="s">
        <v>2490</v>
      </c>
      <c r="B125" s="98" t="s">
        <v>2904</v>
      </c>
      <c r="C125" s="98" t="s">
        <v>2491</v>
      </c>
      <c r="D125" s="99" t="s">
        <v>8</v>
      </c>
      <c r="E125" s="99" t="s">
        <v>31</v>
      </c>
      <c r="F125" s="98" t="s">
        <v>2492</v>
      </c>
    </row>
    <row r="126" spans="1:6">
      <c r="A126" s="98" t="s">
        <v>2493</v>
      </c>
      <c r="B126" s="98" t="s">
        <v>2905</v>
      </c>
      <c r="C126" s="98" t="s">
        <v>2494</v>
      </c>
      <c r="D126" s="99" t="s">
        <v>8</v>
      </c>
      <c r="E126" s="99" t="s">
        <v>31</v>
      </c>
      <c r="F126" s="98" t="s">
        <v>2495</v>
      </c>
    </row>
    <row r="127" spans="1:6">
      <c r="A127" s="98" t="s">
        <v>1350</v>
      </c>
      <c r="B127" s="98" t="s">
        <v>2906</v>
      </c>
      <c r="C127" s="98" t="s">
        <v>2496</v>
      </c>
      <c r="D127" s="99" t="s">
        <v>8</v>
      </c>
      <c r="E127" s="99" t="s">
        <v>8</v>
      </c>
      <c r="F127" s="98" t="s">
        <v>2497</v>
      </c>
    </row>
    <row r="128" spans="1:6">
      <c r="A128" s="98" t="s">
        <v>1345</v>
      </c>
      <c r="B128" s="98" t="s">
        <v>2907</v>
      </c>
      <c r="C128" s="98" t="s">
        <v>2498</v>
      </c>
      <c r="D128" s="99" t="s">
        <v>31</v>
      </c>
      <c r="E128" s="99" t="s">
        <v>31</v>
      </c>
      <c r="F128" s="98" t="s">
        <v>2499</v>
      </c>
    </row>
    <row r="129" spans="1:6">
      <c r="A129" s="98" t="s">
        <v>1336</v>
      </c>
      <c r="B129" s="98" t="s">
        <v>2908</v>
      </c>
      <c r="C129" s="98" t="s">
        <v>2500</v>
      </c>
      <c r="D129" s="99" t="s">
        <v>8</v>
      </c>
      <c r="E129" s="99" t="s">
        <v>8</v>
      </c>
      <c r="F129" s="98" t="s">
        <v>2501</v>
      </c>
    </row>
    <row r="130" spans="1:6">
      <c r="A130" s="98" t="s">
        <v>2502</v>
      </c>
      <c r="B130" s="98" t="s">
        <v>2909</v>
      </c>
      <c r="C130" s="98" t="s">
        <v>2503</v>
      </c>
      <c r="D130" s="99" t="s">
        <v>8</v>
      </c>
      <c r="E130" s="99" t="s">
        <v>8</v>
      </c>
      <c r="F130" s="98" t="s">
        <v>2504</v>
      </c>
    </row>
    <row r="131" spans="1:6">
      <c r="A131" s="98" t="s">
        <v>2505</v>
      </c>
      <c r="B131" s="98" t="s">
        <v>2910</v>
      </c>
      <c r="C131" s="98" t="s">
        <v>2506</v>
      </c>
      <c r="D131" s="99" t="s">
        <v>8</v>
      </c>
      <c r="E131" s="99" t="s">
        <v>8</v>
      </c>
      <c r="F131" s="98" t="s">
        <v>2507</v>
      </c>
    </row>
    <row r="132" spans="1:6">
      <c r="A132" s="98" t="s">
        <v>2508</v>
      </c>
      <c r="B132" s="98" t="s">
        <v>2911</v>
      </c>
      <c r="C132" s="98" t="s">
        <v>2509</v>
      </c>
      <c r="D132" s="99" t="s">
        <v>8</v>
      </c>
      <c r="E132" s="99" t="s">
        <v>31</v>
      </c>
      <c r="F132" s="98" t="s">
        <v>2510</v>
      </c>
    </row>
    <row r="133" spans="1:6">
      <c r="A133" s="98" t="s">
        <v>1163</v>
      </c>
      <c r="B133" s="98" t="s">
        <v>2511</v>
      </c>
      <c r="C133" s="98" t="s">
        <v>2512</v>
      </c>
      <c r="D133" s="99" t="s">
        <v>43</v>
      </c>
      <c r="E133" s="99" t="s">
        <v>43</v>
      </c>
      <c r="F133" s="98" t="s">
        <v>2513</v>
      </c>
    </row>
    <row r="134" spans="1:6">
      <c r="A134" s="98" t="s">
        <v>1149</v>
      </c>
      <c r="B134" s="98" t="s">
        <v>2912</v>
      </c>
      <c r="C134" s="98" t="s">
        <v>2514</v>
      </c>
      <c r="D134" s="99" t="s">
        <v>8</v>
      </c>
      <c r="E134" s="99" t="s">
        <v>8</v>
      </c>
      <c r="F134" s="98" t="s">
        <v>2515</v>
      </c>
    </row>
    <row r="135" spans="1:6">
      <c r="A135" s="98" t="s">
        <v>1159</v>
      </c>
      <c r="B135" s="98" t="s">
        <v>2913</v>
      </c>
      <c r="C135" s="98" t="s">
        <v>2512</v>
      </c>
      <c r="D135" s="99" t="s">
        <v>31</v>
      </c>
      <c r="E135" s="99" t="s">
        <v>31</v>
      </c>
      <c r="F135" s="98" t="s">
        <v>2516</v>
      </c>
    </row>
    <row r="136" spans="1:6">
      <c r="A136" s="98" t="s">
        <v>1154</v>
      </c>
      <c r="B136" s="98" t="s">
        <v>2914</v>
      </c>
      <c r="C136" s="98" t="s">
        <v>2517</v>
      </c>
      <c r="D136" s="99" t="s">
        <v>8</v>
      </c>
      <c r="E136" s="99" t="s">
        <v>8</v>
      </c>
      <c r="F136" s="98" t="s">
        <v>2518</v>
      </c>
    </row>
    <row r="137" spans="1:6">
      <c r="A137" s="98" t="s">
        <v>1132</v>
      </c>
      <c r="B137" s="98" t="s">
        <v>2915</v>
      </c>
      <c r="C137" s="98" t="s">
        <v>2519</v>
      </c>
      <c r="D137" s="99" t="s">
        <v>8</v>
      </c>
      <c r="E137" s="99" t="s">
        <v>8</v>
      </c>
      <c r="F137" s="98" t="s">
        <v>2520</v>
      </c>
    </row>
    <row r="138" spans="1:6">
      <c r="A138" s="98" t="s">
        <v>920</v>
      </c>
      <c r="B138" s="98" t="s">
        <v>2521</v>
      </c>
      <c r="C138" s="98" t="s">
        <v>2522</v>
      </c>
      <c r="D138" s="99" t="s">
        <v>43</v>
      </c>
      <c r="E138" s="99" t="s">
        <v>43</v>
      </c>
      <c r="F138" s="98" t="s">
        <v>2523</v>
      </c>
    </row>
    <row r="139" spans="1:6">
      <c r="A139" s="98" t="s">
        <v>909</v>
      </c>
      <c r="B139" s="98" t="s">
        <v>2916</v>
      </c>
      <c r="C139" s="98" t="s">
        <v>2524</v>
      </c>
      <c r="D139" s="99" t="s">
        <v>31</v>
      </c>
      <c r="E139" s="99" t="s">
        <v>31</v>
      </c>
      <c r="F139" s="98" t="s">
        <v>2525</v>
      </c>
    </row>
    <row r="140" spans="1:6">
      <c r="A140" s="98" t="s">
        <v>897</v>
      </c>
      <c r="B140" s="98" t="s">
        <v>2917</v>
      </c>
      <c r="C140" s="98" t="s">
        <v>2526</v>
      </c>
      <c r="D140" s="99" t="s">
        <v>8</v>
      </c>
      <c r="E140" s="99" t="s">
        <v>8</v>
      </c>
      <c r="F140" s="98" t="s">
        <v>2527</v>
      </c>
    </row>
    <row r="141" spans="1:6">
      <c r="A141" s="98" t="s">
        <v>913</v>
      </c>
      <c r="B141" s="98" t="s">
        <v>2918</v>
      </c>
      <c r="C141" s="98" t="s">
        <v>2528</v>
      </c>
      <c r="D141" s="99" t="s">
        <v>8</v>
      </c>
      <c r="E141" s="99" t="s">
        <v>8</v>
      </c>
      <c r="F141" s="98" t="s">
        <v>2529</v>
      </c>
    </row>
    <row r="142" spans="1:6">
      <c r="A142" s="98" t="s">
        <v>901</v>
      </c>
      <c r="B142" s="98" t="s">
        <v>2919</v>
      </c>
      <c r="C142" s="98" t="s">
        <v>2530</v>
      </c>
      <c r="D142" s="99" t="s">
        <v>8</v>
      </c>
      <c r="E142" s="99" t="s">
        <v>8</v>
      </c>
      <c r="F142" s="98" t="s">
        <v>2531</v>
      </c>
    </row>
    <row r="143" spans="1:6">
      <c r="A143" s="98" t="s">
        <v>905</v>
      </c>
      <c r="B143" s="98" t="s">
        <v>2920</v>
      </c>
      <c r="C143" s="98" t="s">
        <v>2532</v>
      </c>
      <c r="D143" s="99" t="s">
        <v>8</v>
      </c>
      <c r="E143" s="99" t="s">
        <v>8</v>
      </c>
      <c r="F143" s="98" t="s">
        <v>2533</v>
      </c>
    </row>
    <row r="144" spans="1:6">
      <c r="A144" s="98" t="s">
        <v>887</v>
      </c>
      <c r="B144" s="98" t="s">
        <v>2921</v>
      </c>
      <c r="C144" s="98" t="s">
        <v>2534</v>
      </c>
      <c r="D144" s="99" t="s">
        <v>31</v>
      </c>
      <c r="E144" s="99" t="s">
        <v>31</v>
      </c>
      <c r="F144" s="98" t="s">
        <v>2535</v>
      </c>
    </row>
    <row r="145" spans="1:6">
      <c r="A145" s="98" t="s">
        <v>891</v>
      </c>
      <c r="B145" s="98" t="s">
        <v>2922</v>
      </c>
      <c r="C145" s="98" t="s">
        <v>2536</v>
      </c>
      <c r="D145" s="99" t="s">
        <v>8</v>
      </c>
      <c r="E145" s="99" t="s">
        <v>8</v>
      </c>
      <c r="F145" s="98" t="s">
        <v>2537</v>
      </c>
    </row>
    <row r="146" spans="1:6">
      <c r="A146" s="98" t="s">
        <v>883</v>
      </c>
      <c r="B146" s="98" t="s">
        <v>2538</v>
      </c>
      <c r="C146" s="98" t="s">
        <v>2539</v>
      </c>
      <c r="D146" s="99" t="s">
        <v>43</v>
      </c>
      <c r="E146" s="99" t="s">
        <v>43</v>
      </c>
      <c r="F146" s="98" t="s">
        <v>2540</v>
      </c>
    </row>
    <row r="147" spans="1:6">
      <c r="A147" s="98" t="s">
        <v>871</v>
      </c>
      <c r="B147" s="98" t="s">
        <v>2923</v>
      </c>
      <c r="C147" s="98" t="s">
        <v>2541</v>
      </c>
      <c r="D147" s="99" t="s">
        <v>31</v>
      </c>
      <c r="E147" s="99" t="s">
        <v>31</v>
      </c>
      <c r="F147" s="98" t="s">
        <v>2542</v>
      </c>
    </row>
    <row r="148" spans="1:6">
      <c r="A148" s="98" t="s">
        <v>859</v>
      </c>
      <c r="B148" s="98" t="s">
        <v>2924</v>
      </c>
      <c r="C148" s="98" t="s">
        <v>2543</v>
      </c>
      <c r="D148" s="99" t="s">
        <v>8</v>
      </c>
      <c r="E148" s="99" t="s">
        <v>8</v>
      </c>
      <c r="F148" s="98" t="s">
        <v>2544</v>
      </c>
    </row>
    <row r="149" spans="1:6">
      <c r="A149" s="98" t="s">
        <v>875</v>
      </c>
      <c r="B149" s="98" t="s">
        <v>2925</v>
      </c>
      <c r="C149" s="98" t="s">
        <v>2545</v>
      </c>
      <c r="D149" s="99" t="s">
        <v>8</v>
      </c>
      <c r="E149" s="99" t="s">
        <v>8</v>
      </c>
      <c r="F149" s="98" t="s">
        <v>2546</v>
      </c>
    </row>
    <row r="150" spans="1:6">
      <c r="A150" s="98" t="s">
        <v>863</v>
      </c>
      <c r="B150" s="98" t="s">
        <v>2926</v>
      </c>
      <c r="C150" s="98" t="s">
        <v>2547</v>
      </c>
      <c r="D150" s="99" t="s">
        <v>8</v>
      </c>
      <c r="E150" s="99" t="s">
        <v>8</v>
      </c>
      <c r="F150" s="98" t="s">
        <v>2548</v>
      </c>
    </row>
    <row r="151" spans="1:6">
      <c r="A151" s="98" t="s">
        <v>867</v>
      </c>
      <c r="B151" s="98" t="s">
        <v>2927</v>
      </c>
      <c r="C151" s="98" t="s">
        <v>2549</v>
      </c>
      <c r="D151" s="99" t="s">
        <v>8</v>
      </c>
      <c r="E151" s="99" t="s">
        <v>8</v>
      </c>
      <c r="F151" s="98" t="s">
        <v>2550</v>
      </c>
    </row>
    <row r="152" spans="1:6">
      <c r="A152" s="98" t="s">
        <v>848</v>
      </c>
      <c r="B152" s="98" t="s">
        <v>2928</v>
      </c>
      <c r="C152" s="98" t="s">
        <v>2551</v>
      </c>
      <c r="D152" s="99" t="s">
        <v>31</v>
      </c>
      <c r="E152" s="99" t="s">
        <v>31</v>
      </c>
      <c r="F152" s="98" t="s">
        <v>2552</v>
      </c>
    </row>
    <row r="153" spans="1:6">
      <c r="A153" s="98" t="s">
        <v>852</v>
      </c>
      <c r="B153" s="98" t="s">
        <v>2929</v>
      </c>
      <c r="C153" s="98" t="s">
        <v>2553</v>
      </c>
      <c r="D153" s="99" t="s">
        <v>8</v>
      </c>
      <c r="E153" s="99" t="s">
        <v>8</v>
      </c>
      <c r="F153" s="98" t="s">
        <v>2554</v>
      </c>
    </row>
    <row r="154" spans="1:6">
      <c r="A154" s="98" t="s">
        <v>758</v>
      </c>
      <c r="B154" s="98" t="s">
        <v>2555</v>
      </c>
      <c r="C154" s="98" t="s">
        <v>2556</v>
      </c>
      <c r="D154" s="99" t="s">
        <v>31</v>
      </c>
      <c r="E154" s="99" t="s">
        <v>31</v>
      </c>
      <c r="F154" s="98" t="s">
        <v>2557</v>
      </c>
    </row>
    <row r="155" spans="1:6">
      <c r="A155" s="98" t="s">
        <v>723</v>
      </c>
      <c r="B155" s="98" t="s">
        <v>2930</v>
      </c>
      <c r="C155" s="98" t="s">
        <v>2558</v>
      </c>
      <c r="D155" s="99" t="s">
        <v>31</v>
      </c>
      <c r="E155" s="99" t="s">
        <v>31</v>
      </c>
      <c r="F155" s="98" t="s">
        <v>2559</v>
      </c>
    </row>
    <row r="156" spans="1:6">
      <c r="A156" s="98" t="s">
        <v>747</v>
      </c>
      <c r="B156" s="98" t="s">
        <v>2931</v>
      </c>
      <c r="C156" s="98" t="s">
        <v>2560</v>
      </c>
      <c r="D156" s="99" t="s">
        <v>8</v>
      </c>
      <c r="E156" s="99" t="s">
        <v>8</v>
      </c>
      <c r="F156" s="98" t="s">
        <v>2561</v>
      </c>
    </row>
    <row r="157" spans="1:6">
      <c r="A157" s="98" t="s">
        <v>752</v>
      </c>
      <c r="B157" s="98" t="s">
        <v>2932</v>
      </c>
      <c r="C157" s="98" t="s">
        <v>2562</v>
      </c>
      <c r="D157" s="99" t="s">
        <v>8</v>
      </c>
      <c r="E157" s="99" t="s">
        <v>8</v>
      </c>
      <c r="F157" s="98" t="s">
        <v>2563</v>
      </c>
    </row>
    <row r="158" spans="1:6">
      <c r="A158" s="98" t="s">
        <v>728</v>
      </c>
      <c r="B158" s="98" t="s">
        <v>2933</v>
      </c>
      <c r="C158" s="98" t="s">
        <v>2564</v>
      </c>
      <c r="D158" s="99" t="s">
        <v>31</v>
      </c>
      <c r="E158" s="99" t="s">
        <v>31</v>
      </c>
      <c r="F158" s="98" t="s">
        <v>2565</v>
      </c>
    </row>
    <row r="159" spans="1:6">
      <c r="A159" s="98" t="s">
        <v>737</v>
      </c>
      <c r="B159" s="98" t="s">
        <v>2934</v>
      </c>
      <c r="C159" s="98" t="s">
        <v>2566</v>
      </c>
      <c r="D159" s="99" t="s">
        <v>31</v>
      </c>
      <c r="E159" s="99" t="s">
        <v>31</v>
      </c>
      <c r="F159" s="98" t="s">
        <v>2567</v>
      </c>
    </row>
    <row r="160" spans="1:6">
      <c r="A160" s="98" t="s">
        <v>713</v>
      </c>
      <c r="B160" s="98" t="s">
        <v>2935</v>
      </c>
      <c r="C160" s="98" t="s">
        <v>2568</v>
      </c>
      <c r="D160" s="99" t="s">
        <v>31</v>
      </c>
      <c r="E160" s="99" t="s">
        <v>31</v>
      </c>
      <c r="F160" s="98" t="s">
        <v>2569</v>
      </c>
    </row>
    <row r="161" spans="1:6">
      <c r="A161" s="98" t="s">
        <v>1252</v>
      </c>
      <c r="B161" s="98" t="s">
        <v>2913</v>
      </c>
      <c r="C161" s="98" t="s">
        <v>2512</v>
      </c>
      <c r="D161" s="99" t="s">
        <v>8</v>
      </c>
      <c r="E161" s="99" t="s">
        <v>8</v>
      </c>
      <c r="F161" s="98" t="s">
        <v>2570</v>
      </c>
    </row>
    <row r="162" spans="1:6">
      <c r="A162" s="98" t="s">
        <v>2571</v>
      </c>
      <c r="B162" s="98" t="s">
        <v>2936</v>
      </c>
      <c r="C162" s="98" t="s">
        <v>2572</v>
      </c>
      <c r="D162" s="99" t="s">
        <v>8</v>
      </c>
      <c r="E162" s="99" t="s">
        <v>8</v>
      </c>
      <c r="F162" s="98" t="s">
        <v>2573</v>
      </c>
    </row>
    <row r="163" spans="1:6">
      <c r="A163" s="98" t="s">
        <v>1248</v>
      </c>
      <c r="B163" s="98" t="s">
        <v>2937</v>
      </c>
      <c r="C163" s="98" t="s">
        <v>2574</v>
      </c>
      <c r="D163" s="99" t="s">
        <v>31</v>
      </c>
      <c r="E163" s="99" t="s">
        <v>31</v>
      </c>
      <c r="F163" s="98" t="s">
        <v>2575</v>
      </c>
    </row>
    <row r="164" spans="1:6">
      <c r="A164" s="98" t="s">
        <v>2576</v>
      </c>
      <c r="B164" s="98" t="s">
        <v>2577</v>
      </c>
      <c r="C164" s="98" t="s">
        <v>2578</v>
      </c>
      <c r="D164" s="99" t="s">
        <v>8</v>
      </c>
      <c r="E164" s="99" t="s">
        <v>8</v>
      </c>
      <c r="F164" s="98" t="s">
        <v>2579</v>
      </c>
    </row>
    <row r="165" spans="1:6">
      <c r="A165" s="98" t="s">
        <v>2580</v>
      </c>
      <c r="B165" s="98" t="s">
        <v>2938</v>
      </c>
      <c r="C165" s="98" t="s">
        <v>2581</v>
      </c>
      <c r="D165" s="99" t="s">
        <v>8</v>
      </c>
      <c r="E165" s="99" t="s">
        <v>31</v>
      </c>
      <c r="F165" s="98" t="s">
        <v>2582</v>
      </c>
    </row>
    <row r="166" spans="1:6">
      <c r="A166" s="98" t="s">
        <v>803</v>
      </c>
      <c r="B166" s="98" t="s">
        <v>2939</v>
      </c>
      <c r="C166" s="98" t="s">
        <v>2583</v>
      </c>
      <c r="D166" s="99" t="s">
        <v>371</v>
      </c>
      <c r="E166" s="99" t="s">
        <v>371</v>
      </c>
      <c r="F166" s="98" t="s">
        <v>2584</v>
      </c>
    </row>
    <row r="167" spans="1:6">
      <c r="A167" s="98" t="s">
        <v>798</v>
      </c>
      <c r="B167" s="98" t="s">
        <v>2940</v>
      </c>
      <c r="C167" s="98" t="s">
        <v>2585</v>
      </c>
      <c r="D167" s="99" t="s">
        <v>8</v>
      </c>
      <c r="E167" s="99" t="s">
        <v>31</v>
      </c>
      <c r="F167" s="98" t="s">
        <v>2586</v>
      </c>
    </row>
    <row r="168" spans="1:6">
      <c r="A168" s="98" t="s">
        <v>787</v>
      </c>
      <c r="B168" s="98" t="s">
        <v>2941</v>
      </c>
      <c r="C168" s="98" t="s">
        <v>2587</v>
      </c>
      <c r="D168" s="99" t="s">
        <v>31</v>
      </c>
      <c r="E168" s="99" t="s">
        <v>31</v>
      </c>
      <c r="F168" s="98" t="s">
        <v>2588</v>
      </c>
    </row>
    <row r="169" spans="1:6">
      <c r="A169" s="98" t="s">
        <v>778</v>
      </c>
      <c r="B169" s="98" t="s">
        <v>2942</v>
      </c>
      <c r="C169" s="98" t="s">
        <v>2589</v>
      </c>
      <c r="D169" s="99" t="s">
        <v>8</v>
      </c>
      <c r="E169" s="99" t="s">
        <v>8</v>
      </c>
      <c r="F169" s="98" t="s">
        <v>2590</v>
      </c>
    </row>
    <row r="170" spans="1:6">
      <c r="A170" s="98" t="s">
        <v>845</v>
      </c>
      <c r="B170" s="98" t="s">
        <v>2591</v>
      </c>
      <c r="C170" s="98" t="s">
        <v>2592</v>
      </c>
      <c r="D170" s="99" t="s">
        <v>371</v>
      </c>
      <c r="E170" s="99" t="s">
        <v>371</v>
      </c>
      <c r="F170" s="98" t="s">
        <v>2593</v>
      </c>
    </row>
    <row r="171" spans="1:6">
      <c r="A171" s="98" t="s">
        <v>834</v>
      </c>
      <c r="B171" s="98" t="s">
        <v>2943</v>
      </c>
      <c r="C171" s="98" t="s">
        <v>2594</v>
      </c>
      <c r="D171" s="99" t="s">
        <v>31</v>
      </c>
      <c r="E171" s="99" t="s">
        <v>31</v>
      </c>
      <c r="F171" s="98" t="s">
        <v>2595</v>
      </c>
    </row>
    <row r="172" spans="1:6">
      <c r="A172" s="98" t="s">
        <v>841</v>
      </c>
      <c r="B172" s="98" t="s">
        <v>2944</v>
      </c>
      <c r="C172" s="98" t="s">
        <v>2596</v>
      </c>
      <c r="D172" s="99" t="s">
        <v>31</v>
      </c>
      <c r="E172" s="99" t="s">
        <v>31</v>
      </c>
      <c r="F172" s="98" t="s">
        <v>2597</v>
      </c>
    </row>
    <row r="173" spans="1:6">
      <c r="A173" s="98" t="s">
        <v>829</v>
      </c>
      <c r="B173" s="98" t="s">
        <v>2945</v>
      </c>
      <c r="C173" s="98" t="s">
        <v>160</v>
      </c>
      <c r="D173" s="99" t="s">
        <v>31</v>
      </c>
      <c r="E173" s="99" t="s">
        <v>31</v>
      </c>
      <c r="F173" s="98" t="s">
        <v>2598</v>
      </c>
    </row>
    <row r="174" spans="1:6">
      <c r="A174" s="98" t="s">
        <v>819</v>
      </c>
      <c r="B174" s="98" t="s">
        <v>2946</v>
      </c>
      <c r="C174" s="98" t="s">
        <v>2599</v>
      </c>
      <c r="D174" s="99" t="s">
        <v>8</v>
      </c>
      <c r="E174" s="99" t="s">
        <v>8</v>
      </c>
      <c r="F174" s="98" t="s">
        <v>2600</v>
      </c>
    </row>
    <row r="175" spans="1:6">
      <c r="A175" s="98" t="s">
        <v>1950</v>
      </c>
      <c r="B175" s="98" t="s">
        <v>2601</v>
      </c>
      <c r="C175" s="98" t="s">
        <v>2602</v>
      </c>
      <c r="D175" s="99" t="s">
        <v>43</v>
      </c>
      <c r="E175" s="99" t="s">
        <v>43</v>
      </c>
      <c r="F175" s="98" t="s">
        <v>2603</v>
      </c>
    </row>
    <row r="176" spans="1:6">
      <c r="A176" s="98" t="s">
        <v>1946</v>
      </c>
      <c r="B176" s="98" t="s">
        <v>2947</v>
      </c>
      <c r="C176" s="98" t="s">
        <v>2604</v>
      </c>
      <c r="D176" s="99" t="s">
        <v>31</v>
      </c>
      <c r="E176" s="99" t="s">
        <v>31</v>
      </c>
      <c r="F176" s="98" t="s">
        <v>2605</v>
      </c>
    </row>
    <row r="177" spans="1:6">
      <c r="A177" s="98" t="s">
        <v>1927</v>
      </c>
      <c r="B177" s="98" t="s">
        <v>2948</v>
      </c>
      <c r="C177" s="98" t="s">
        <v>2606</v>
      </c>
      <c r="D177" s="99" t="s">
        <v>8</v>
      </c>
      <c r="E177" s="99" t="s">
        <v>8</v>
      </c>
      <c r="F177" s="98" t="s">
        <v>2607</v>
      </c>
    </row>
    <row r="178" spans="1:6">
      <c r="A178" s="98" t="s">
        <v>1917</v>
      </c>
      <c r="B178" s="98" t="s">
        <v>2949</v>
      </c>
      <c r="C178" s="98" t="s">
        <v>2602</v>
      </c>
      <c r="D178" s="99" t="s">
        <v>8</v>
      </c>
      <c r="E178" s="99" t="s">
        <v>8</v>
      </c>
      <c r="F178" s="98" t="s">
        <v>2608</v>
      </c>
    </row>
    <row r="179" spans="1:6">
      <c r="A179" s="98" t="s">
        <v>2609</v>
      </c>
      <c r="B179" s="98" t="s">
        <v>2950</v>
      </c>
      <c r="C179" s="98" t="s">
        <v>2610</v>
      </c>
      <c r="D179" s="99" t="s">
        <v>31</v>
      </c>
      <c r="E179" s="99" t="s">
        <v>31</v>
      </c>
      <c r="F179" s="98" t="s">
        <v>2611</v>
      </c>
    </row>
    <row r="180" spans="1:6">
      <c r="A180" s="98" t="s">
        <v>2612</v>
      </c>
      <c r="B180" s="98" t="s">
        <v>2951</v>
      </c>
      <c r="C180" s="98" t="s">
        <v>2613</v>
      </c>
      <c r="D180" s="99" t="s">
        <v>31</v>
      </c>
      <c r="E180" s="99" t="s">
        <v>31</v>
      </c>
      <c r="F180" s="98" t="s">
        <v>2614</v>
      </c>
    </row>
    <row r="181" spans="1:6">
      <c r="A181" s="98" t="s">
        <v>1942</v>
      </c>
      <c r="B181" s="98" t="s">
        <v>2952</v>
      </c>
      <c r="C181" s="98" t="s">
        <v>2615</v>
      </c>
      <c r="D181" s="99" t="s">
        <v>8</v>
      </c>
      <c r="E181" s="99" t="s">
        <v>31</v>
      </c>
      <c r="F181" s="98" t="s">
        <v>2616</v>
      </c>
    </row>
    <row r="182" spans="1:6">
      <c r="A182" s="98" t="s">
        <v>612</v>
      </c>
      <c r="B182" s="98" t="s">
        <v>2617</v>
      </c>
      <c r="C182" s="98" t="s">
        <v>2618</v>
      </c>
      <c r="D182" s="99" t="s">
        <v>371</v>
      </c>
      <c r="E182" s="99" t="s">
        <v>371</v>
      </c>
      <c r="F182" s="98" t="s">
        <v>2619</v>
      </c>
    </row>
    <row r="183" spans="1:6">
      <c r="A183" s="98" t="s">
        <v>607</v>
      </c>
      <c r="B183" s="98" t="s">
        <v>2953</v>
      </c>
      <c r="C183" s="98" t="s">
        <v>2620</v>
      </c>
      <c r="D183" s="99" t="s">
        <v>31</v>
      </c>
      <c r="E183" s="99" t="s">
        <v>31</v>
      </c>
      <c r="F183" s="98" t="s">
        <v>2621</v>
      </c>
    </row>
    <row r="184" spans="1:6">
      <c r="A184" s="98" t="s">
        <v>578</v>
      </c>
      <c r="B184" s="98" t="s">
        <v>2954</v>
      </c>
      <c r="C184" s="98" t="s">
        <v>2622</v>
      </c>
      <c r="D184" s="99" t="s">
        <v>8</v>
      </c>
      <c r="E184" s="99" t="s">
        <v>8</v>
      </c>
      <c r="F184" s="98" t="s">
        <v>2623</v>
      </c>
    </row>
    <row r="185" spans="1:6">
      <c r="A185" s="98" t="s">
        <v>531</v>
      </c>
      <c r="B185" s="98" t="s">
        <v>2955</v>
      </c>
      <c r="C185" s="98" t="s">
        <v>2624</v>
      </c>
      <c r="D185" s="99" t="s">
        <v>8</v>
      </c>
      <c r="E185" s="99" t="s">
        <v>8</v>
      </c>
      <c r="F185" s="98" t="s">
        <v>2625</v>
      </c>
    </row>
    <row r="186" spans="1:6">
      <c r="A186" s="98" t="s">
        <v>527</v>
      </c>
      <c r="B186" s="98" t="s">
        <v>2956</v>
      </c>
      <c r="C186" s="98" t="s">
        <v>2626</v>
      </c>
      <c r="D186" s="99" t="s">
        <v>31</v>
      </c>
      <c r="E186" s="99" t="s">
        <v>31</v>
      </c>
      <c r="F186" s="98" t="s">
        <v>2627</v>
      </c>
    </row>
    <row r="187" spans="1:6">
      <c r="A187" s="98" t="s">
        <v>500</v>
      </c>
      <c r="B187" s="98" t="s">
        <v>2957</v>
      </c>
      <c r="C187" s="98" t="s">
        <v>2628</v>
      </c>
      <c r="D187" s="99" t="s">
        <v>8</v>
      </c>
      <c r="E187" s="99" t="s">
        <v>8</v>
      </c>
      <c r="F187" s="98" t="s">
        <v>2629</v>
      </c>
    </row>
    <row r="188" spans="1:6">
      <c r="A188" s="98" t="s">
        <v>326</v>
      </c>
      <c r="B188" s="98" t="s">
        <v>2958</v>
      </c>
      <c r="C188" s="98" t="s">
        <v>2630</v>
      </c>
      <c r="D188" s="99" t="s">
        <v>8</v>
      </c>
      <c r="E188" s="99" t="s">
        <v>31</v>
      </c>
      <c r="F188" s="98" t="s">
        <v>2631</v>
      </c>
    </row>
    <row r="189" spans="1:6">
      <c r="A189" s="98" t="s">
        <v>434</v>
      </c>
      <c r="B189" s="98" t="s">
        <v>2959</v>
      </c>
      <c r="C189" s="98" t="s">
        <v>2632</v>
      </c>
      <c r="D189" s="99" t="s">
        <v>31</v>
      </c>
      <c r="E189" s="99" t="s">
        <v>31</v>
      </c>
      <c r="F189" s="98" t="s">
        <v>2633</v>
      </c>
    </row>
    <row r="190" spans="1:6">
      <c r="A190" s="98" t="s">
        <v>428</v>
      </c>
      <c r="B190" s="98" t="s">
        <v>2960</v>
      </c>
      <c r="C190" s="98" t="s">
        <v>2634</v>
      </c>
      <c r="D190" s="99" t="s">
        <v>31</v>
      </c>
      <c r="E190" s="99" t="s">
        <v>31</v>
      </c>
      <c r="F190" s="98" t="s">
        <v>2635</v>
      </c>
    </row>
    <row r="191" spans="1:6">
      <c r="A191" s="98" t="s">
        <v>360</v>
      </c>
      <c r="B191" s="98" t="s">
        <v>2961</v>
      </c>
      <c r="C191" s="98" t="s">
        <v>2636</v>
      </c>
      <c r="D191" s="99" t="s">
        <v>31</v>
      </c>
      <c r="E191" s="99" t="s">
        <v>31</v>
      </c>
      <c r="F191" s="98" t="s">
        <v>2637</v>
      </c>
    </row>
    <row r="192" spans="1:6">
      <c r="A192" s="98" t="s">
        <v>549</v>
      </c>
      <c r="B192" s="98" t="s">
        <v>2962</v>
      </c>
      <c r="C192" s="98" t="s">
        <v>2638</v>
      </c>
      <c r="D192" s="99" t="s">
        <v>8</v>
      </c>
      <c r="E192" s="99" t="s">
        <v>31</v>
      </c>
      <c r="F192" s="98" t="s">
        <v>2639</v>
      </c>
    </row>
    <row r="193" spans="1:6">
      <c r="A193" s="98" t="s">
        <v>538</v>
      </c>
      <c r="B193" s="98" t="s">
        <v>2963</v>
      </c>
      <c r="C193" s="98" t="s">
        <v>2640</v>
      </c>
      <c r="D193" s="99" t="s">
        <v>8</v>
      </c>
      <c r="E193" s="99" t="s">
        <v>31</v>
      </c>
      <c r="F193" s="98" t="s">
        <v>2641</v>
      </c>
    </row>
    <row r="194" spans="1:6">
      <c r="A194" s="98" t="s">
        <v>393</v>
      </c>
      <c r="B194" s="98" t="s">
        <v>2964</v>
      </c>
      <c r="C194" s="98" t="s">
        <v>2244</v>
      </c>
      <c r="D194" s="99" t="s">
        <v>8</v>
      </c>
      <c r="E194" s="99" t="s">
        <v>31</v>
      </c>
      <c r="F194" s="98" t="s">
        <v>2642</v>
      </c>
    </row>
    <row r="195" spans="1:6">
      <c r="A195" s="98" t="s">
        <v>113</v>
      </c>
      <c r="B195" s="98" t="s">
        <v>2965</v>
      </c>
      <c r="C195" s="98" t="s">
        <v>2643</v>
      </c>
      <c r="D195" s="99" t="s">
        <v>8</v>
      </c>
      <c r="E195" s="99" t="s">
        <v>8</v>
      </c>
      <c r="F195" s="98" t="s">
        <v>2644</v>
      </c>
    </row>
    <row r="196" spans="1:6">
      <c r="A196" s="98" t="s">
        <v>152</v>
      </c>
      <c r="B196" s="98" t="s">
        <v>2966</v>
      </c>
      <c r="C196" s="98" t="s">
        <v>2645</v>
      </c>
      <c r="D196" s="99" t="s">
        <v>8</v>
      </c>
      <c r="E196" s="99" t="s">
        <v>8</v>
      </c>
      <c r="F196" s="98" t="s">
        <v>2646</v>
      </c>
    </row>
    <row r="197" spans="1:6">
      <c r="A197" s="98" t="s">
        <v>147</v>
      </c>
      <c r="B197" s="98" t="s">
        <v>2967</v>
      </c>
      <c r="C197" s="98" t="s">
        <v>2647</v>
      </c>
      <c r="D197" s="99" t="s">
        <v>8</v>
      </c>
      <c r="E197" s="99" t="s">
        <v>8</v>
      </c>
      <c r="F197" s="98" t="s">
        <v>2648</v>
      </c>
    </row>
    <row r="198" spans="1:6">
      <c r="A198" s="98" t="s">
        <v>139</v>
      </c>
      <c r="B198" s="98" t="s">
        <v>2968</v>
      </c>
      <c r="C198" s="98" t="s">
        <v>2649</v>
      </c>
      <c r="D198" s="99" t="s">
        <v>8</v>
      </c>
      <c r="E198" s="99" t="s">
        <v>8</v>
      </c>
      <c r="F198" s="98" t="s">
        <v>2650</v>
      </c>
    </row>
    <row r="199" spans="1:6">
      <c r="A199" s="98" t="s">
        <v>220</v>
      </c>
      <c r="B199" s="98" t="s">
        <v>2969</v>
      </c>
      <c r="C199" s="98" t="s">
        <v>2651</v>
      </c>
      <c r="D199" s="99" t="s">
        <v>43</v>
      </c>
      <c r="E199" s="99" t="s">
        <v>43</v>
      </c>
      <c r="F199" s="98" t="s">
        <v>2652</v>
      </c>
    </row>
    <row r="200" spans="1:6">
      <c r="A200" s="98" t="s">
        <v>211</v>
      </c>
      <c r="B200" s="98" t="s">
        <v>2970</v>
      </c>
      <c r="C200" s="98" t="s">
        <v>2653</v>
      </c>
      <c r="D200" s="99" t="s">
        <v>31</v>
      </c>
      <c r="E200" s="99" t="s">
        <v>31</v>
      </c>
      <c r="F200" s="98" t="s">
        <v>2654</v>
      </c>
    </row>
    <row r="201" spans="1:6">
      <c r="A201" s="98" t="s">
        <v>202</v>
      </c>
      <c r="B201" s="98" t="s">
        <v>2971</v>
      </c>
      <c r="C201" s="98" t="s">
        <v>2655</v>
      </c>
      <c r="D201" s="99" t="s">
        <v>8</v>
      </c>
      <c r="E201" s="99" t="s">
        <v>8</v>
      </c>
      <c r="F201" s="98" t="s">
        <v>2656</v>
      </c>
    </row>
    <row r="202" spans="1:6">
      <c r="A202" s="98" t="s">
        <v>215</v>
      </c>
      <c r="B202" s="98" t="s">
        <v>2972</v>
      </c>
      <c r="C202" s="98" t="s">
        <v>2657</v>
      </c>
      <c r="D202" s="99" t="s">
        <v>8</v>
      </c>
      <c r="E202" s="99" t="s">
        <v>8</v>
      </c>
      <c r="F202" s="98" t="s">
        <v>2658</v>
      </c>
    </row>
    <row r="203" spans="1:6">
      <c r="A203" s="98" t="s">
        <v>205</v>
      </c>
      <c r="B203" s="98" t="s">
        <v>2973</v>
      </c>
      <c r="C203" s="98" t="s">
        <v>2659</v>
      </c>
      <c r="D203" s="99" t="s">
        <v>8</v>
      </c>
      <c r="E203" s="99" t="s">
        <v>8</v>
      </c>
      <c r="F203" s="98" t="s">
        <v>2660</v>
      </c>
    </row>
    <row r="204" spans="1:6">
      <c r="A204" s="98" t="s">
        <v>208</v>
      </c>
      <c r="B204" s="98" t="s">
        <v>2974</v>
      </c>
      <c r="C204" s="98" t="s">
        <v>2661</v>
      </c>
      <c r="D204" s="99" t="s">
        <v>8</v>
      </c>
      <c r="E204" s="99" t="s">
        <v>8</v>
      </c>
      <c r="F204" s="98" t="s">
        <v>2662</v>
      </c>
    </row>
    <row r="205" spans="1:6">
      <c r="A205" s="98" t="s">
        <v>197</v>
      </c>
      <c r="B205" s="98" t="s">
        <v>2975</v>
      </c>
      <c r="C205" s="98" t="s">
        <v>2663</v>
      </c>
      <c r="D205" s="99" t="s">
        <v>43</v>
      </c>
      <c r="E205" s="99" t="s">
        <v>43</v>
      </c>
      <c r="F205" s="98" t="s">
        <v>2664</v>
      </c>
    </row>
    <row r="206" spans="1:6">
      <c r="A206" s="98" t="s">
        <v>181</v>
      </c>
      <c r="B206" s="98" t="s">
        <v>2976</v>
      </c>
      <c r="C206" s="98" t="s">
        <v>2665</v>
      </c>
      <c r="D206" s="99" t="s">
        <v>31</v>
      </c>
      <c r="E206" s="99" t="s">
        <v>31</v>
      </c>
      <c r="F206" s="98" t="s">
        <v>2666</v>
      </c>
    </row>
    <row r="207" spans="1:6">
      <c r="A207" s="98" t="s">
        <v>165</v>
      </c>
      <c r="B207" s="98" t="s">
        <v>2977</v>
      </c>
      <c r="C207" s="98" t="s">
        <v>2667</v>
      </c>
      <c r="D207" s="99" t="s">
        <v>8</v>
      </c>
      <c r="E207" s="99" t="s">
        <v>8</v>
      </c>
      <c r="F207" s="98" t="s">
        <v>2668</v>
      </c>
    </row>
    <row r="208" spans="1:6">
      <c r="A208" s="98" t="s">
        <v>187</v>
      </c>
      <c r="B208" s="98" t="s">
        <v>2978</v>
      </c>
      <c r="C208" s="98" t="s">
        <v>2669</v>
      </c>
      <c r="D208" s="99" t="s">
        <v>8</v>
      </c>
      <c r="E208" s="99" t="s">
        <v>8</v>
      </c>
      <c r="F208" s="98" t="s">
        <v>2670</v>
      </c>
    </row>
    <row r="209" spans="1:6">
      <c r="A209" s="98" t="s">
        <v>170</v>
      </c>
      <c r="B209" s="98" t="s">
        <v>2979</v>
      </c>
      <c r="C209" s="98" t="s">
        <v>2671</v>
      </c>
      <c r="D209" s="99" t="s">
        <v>8</v>
      </c>
      <c r="E209" s="99" t="s">
        <v>8</v>
      </c>
      <c r="F209" s="98" t="s">
        <v>2672</v>
      </c>
    </row>
    <row r="210" spans="1:6">
      <c r="A210" s="98" t="s">
        <v>175</v>
      </c>
      <c r="B210" s="98" t="s">
        <v>2980</v>
      </c>
      <c r="C210" s="98" t="s">
        <v>2673</v>
      </c>
      <c r="D210" s="99" t="s">
        <v>8</v>
      </c>
      <c r="E210" s="99" t="s">
        <v>8</v>
      </c>
      <c r="F210" s="98" t="s">
        <v>2674</v>
      </c>
    </row>
    <row r="211" spans="1:6">
      <c r="A211" s="98" t="s">
        <v>489</v>
      </c>
      <c r="B211" s="98" t="s">
        <v>2981</v>
      </c>
      <c r="C211" s="98" t="s">
        <v>2675</v>
      </c>
      <c r="D211" s="99" t="s">
        <v>31</v>
      </c>
      <c r="E211" s="99" t="s">
        <v>31</v>
      </c>
      <c r="F211" s="98" t="s">
        <v>2676</v>
      </c>
    </row>
    <row r="212" spans="1:6">
      <c r="A212" s="98" t="s">
        <v>477</v>
      </c>
      <c r="B212" s="98" t="s">
        <v>2982</v>
      </c>
      <c r="C212" s="98" t="s">
        <v>2677</v>
      </c>
      <c r="D212" s="99" t="s">
        <v>31</v>
      </c>
      <c r="E212" s="99" t="s">
        <v>31</v>
      </c>
      <c r="F212" s="98" t="s">
        <v>2678</v>
      </c>
    </row>
    <row r="213" spans="1:6">
      <c r="A213" s="98" t="s">
        <v>2679</v>
      </c>
      <c r="B213" s="98" t="s">
        <v>2983</v>
      </c>
      <c r="C213" s="98" t="s">
        <v>2680</v>
      </c>
      <c r="D213" s="99" t="s">
        <v>8</v>
      </c>
      <c r="E213" s="99" t="s">
        <v>31</v>
      </c>
      <c r="F213" s="98" t="s">
        <v>2681</v>
      </c>
    </row>
    <row r="214" spans="1:6">
      <c r="A214" s="98" t="s">
        <v>2682</v>
      </c>
      <c r="B214" s="98" t="s">
        <v>2984</v>
      </c>
      <c r="C214" s="98" t="s">
        <v>2683</v>
      </c>
      <c r="D214" s="99" t="s">
        <v>8</v>
      </c>
      <c r="E214" s="99" t="s">
        <v>8</v>
      </c>
      <c r="F214" s="98" t="s">
        <v>2684</v>
      </c>
    </row>
    <row r="215" spans="1:6">
      <c r="A215" s="98" t="s">
        <v>471</v>
      </c>
      <c r="B215" s="98" t="s">
        <v>2985</v>
      </c>
      <c r="C215" s="98" t="s">
        <v>2685</v>
      </c>
      <c r="D215" s="99" t="s">
        <v>8</v>
      </c>
      <c r="E215" s="99" t="s">
        <v>8</v>
      </c>
      <c r="F215" s="98" t="s">
        <v>2686</v>
      </c>
    </row>
    <row r="216" spans="1:6">
      <c r="A216" s="98" t="s">
        <v>467</v>
      </c>
      <c r="B216" s="98" t="s">
        <v>2986</v>
      </c>
      <c r="C216" s="98" t="s">
        <v>2687</v>
      </c>
      <c r="D216" s="99" t="s">
        <v>8</v>
      </c>
      <c r="E216" s="99" t="s">
        <v>8</v>
      </c>
      <c r="F216" s="98" t="s">
        <v>2688</v>
      </c>
    </row>
    <row r="217" spans="1:6">
      <c r="A217" s="98" t="s">
        <v>372</v>
      </c>
      <c r="B217" s="98" t="s">
        <v>2987</v>
      </c>
      <c r="C217" s="98" t="s">
        <v>2689</v>
      </c>
      <c r="D217" s="99" t="s">
        <v>371</v>
      </c>
      <c r="E217" s="99" t="s">
        <v>371</v>
      </c>
      <c r="F217" s="98" t="s">
        <v>2690</v>
      </c>
    </row>
    <row r="218" spans="1:6">
      <c r="A218" s="98" t="s">
        <v>354</v>
      </c>
      <c r="B218" s="98" t="s">
        <v>2988</v>
      </c>
      <c r="C218" s="98" t="s">
        <v>2691</v>
      </c>
      <c r="D218" s="99" t="s">
        <v>31</v>
      </c>
      <c r="E218" s="99" t="s">
        <v>31</v>
      </c>
      <c r="F218" s="98" t="s">
        <v>2692</v>
      </c>
    </row>
    <row r="219" spans="1:6">
      <c r="A219" s="98" t="s">
        <v>344</v>
      </c>
      <c r="B219" s="98" t="s">
        <v>2989</v>
      </c>
      <c r="C219" s="98" t="s">
        <v>2693</v>
      </c>
      <c r="D219" s="99" t="s">
        <v>8</v>
      </c>
      <c r="E219" s="99" t="s">
        <v>8</v>
      </c>
      <c r="F219" s="98" t="s">
        <v>2694</v>
      </c>
    </row>
    <row r="220" spans="1:6">
      <c r="A220" s="98" t="s">
        <v>2695</v>
      </c>
      <c r="B220" s="98" t="s">
        <v>2990</v>
      </c>
      <c r="C220" s="98" t="s">
        <v>2696</v>
      </c>
      <c r="D220" s="99" t="s">
        <v>8</v>
      </c>
      <c r="E220" s="99" t="s">
        <v>8</v>
      </c>
      <c r="F220" s="98" t="s">
        <v>2697</v>
      </c>
    </row>
    <row r="221" spans="1:6">
      <c r="A221" s="98" t="s">
        <v>365</v>
      </c>
      <c r="B221" s="98" t="s">
        <v>2991</v>
      </c>
      <c r="C221" s="98" t="s">
        <v>2698</v>
      </c>
      <c r="D221" s="99" t="s">
        <v>8</v>
      </c>
      <c r="E221" s="99" t="s">
        <v>31</v>
      </c>
      <c r="F221" s="98" t="s">
        <v>2699</v>
      </c>
    </row>
    <row r="222" spans="1:6">
      <c r="A222" s="98" t="s">
        <v>108</v>
      </c>
      <c r="B222" s="98" t="s">
        <v>2992</v>
      </c>
      <c r="C222" s="98" t="s">
        <v>2700</v>
      </c>
      <c r="D222" s="99" t="s">
        <v>31</v>
      </c>
      <c r="E222" s="99" t="s">
        <v>31</v>
      </c>
      <c r="F222" s="98" t="s">
        <v>2701</v>
      </c>
    </row>
    <row r="223" spans="1:6">
      <c r="A223" s="98" t="s">
        <v>77</v>
      </c>
      <c r="B223" s="98" t="s">
        <v>2993</v>
      </c>
      <c r="C223" s="98" t="s">
        <v>2702</v>
      </c>
      <c r="D223" s="99" t="s">
        <v>31</v>
      </c>
      <c r="E223" s="99" t="s">
        <v>31</v>
      </c>
      <c r="F223" s="98" t="s">
        <v>2703</v>
      </c>
    </row>
    <row r="224" spans="1:6">
      <c r="A224" s="98" t="s">
        <v>70</v>
      </c>
      <c r="B224" s="98" t="s">
        <v>2994</v>
      </c>
      <c r="C224" s="98" t="s">
        <v>75</v>
      </c>
      <c r="D224" s="99" t="s">
        <v>8</v>
      </c>
      <c r="E224" s="99" t="s">
        <v>8</v>
      </c>
      <c r="F224" s="98" t="s">
        <v>2704</v>
      </c>
    </row>
    <row r="225" spans="1:6">
      <c r="A225" s="98" t="s">
        <v>2705</v>
      </c>
      <c r="B225" s="98" t="s">
        <v>2995</v>
      </c>
      <c r="C225" s="98" t="s">
        <v>2706</v>
      </c>
      <c r="D225" s="99" t="s">
        <v>8</v>
      </c>
      <c r="E225" s="99" t="s">
        <v>31</v>
      </c>
      <c r="F225" s="98" t="s">
        <v>2707</v>
      </c>
    </row>
    <row r="226" spans="1:6">
      <c r="A226" s="98" t="s">
        <v>93</v>
      </c>
      <c r="B226" s="98" t="s">
        <v>2996</v>
      </c>
      <c r="C226" s="98" t="s">
        <v>2708</v>
      </c>
      <c r="D226" s="99" t="s">
        <v>8</v>
      </c>
      <c r="E226" s="99" t="s">
        <v>31</v>
      </c>
      <c r="F226" s="98" t="s">
        <v>2709</v>
      </c>
    </row>
    <row r="227" spans="1:6">
      <c r="A227" s="98" t="s">
        <v>88</v>
      </c>
      <c r="B227" s="98" t="s">
        <v>2997</v>
      </c>
      <c r="C227" s="98" t="s">
        <v>2710</v>
      </c>
      <c r="D227" s="99" t="s">
        <v>8</v>
      </c>
      <c r="E227" s="99" t="s">
        <v>31</v>
      </c>
      <c r="F227" s="98" t="s">
        <v>2711</v>
      </c>
    </row>
    <row r="228" spans="1:6">
      <c r="A228" s="98" t="s">
        <v>49</v>
      </c>
      <c r="B228" s="98" t="s">
        <v>2998</v>
      </c>
      <c r="C228" s="98" t="s">
        <v>2712</v>
      </c>
      <c r="D228" s="99" t="s">
        <v>43</v>
      </c>
      <c r="E228" s="99" t="s">
        <v>31</v>
      </c>
      <c r="F228" s="98" t="s">
        <v>2713</v>
      </c>
    </row>
    <row r="229" spans="1:6">
      <c r="A229" s="98" t="s">
        <v>9</v>
      </c>
      <c r="B229" s="98" t="s">
        <v>2999</v>
      </c>
      <c r="C229" s="98" t="s">
        <v>2714</v>
      </c>
      <c r="D229" s="99" t="s">
        <v>8</v>
      </c>
      <c r="E229" s="99" t="s">
        <v>31</v>
      </c>
      <c r="F229" s="98" t="s">
        <v>2715</v>
      </c>
    </row>
    <row r="230" spans="1:6">
      <c r="A230" s="98" t="s">
        <v>44</v>
      </c>
      <c r="B230" s="98" t="s">
        <v>3000</v>
      </c>
      <c r="C230" s="98" t="s">
        <v>2716</v>
      </c>
      <c r="D230" s="99" t="s">
        <v>43</v>
      </c>
      <c r="E230" s="99" t="s">
        <v>43</v>
      </c>
      <c r="F230" s="98" t="s">
        <v>2717</v>
      </c>
    </row>
    <row r="231" spans="1:6">
      <c r="A231" s="98" t="s">
        <v>38</v>
      </c>
      <c r="B231" s="98" t="s">
        <v>3001</v>
      </c>
      <c r="C231" s="98" t="s">
        <v>2718</v>
      </c>
      <c r="D231" s="99" t="s">
        <v>31</v>
      </c>
      <c r="E231" s="99" t="s">
        <v>31</v>
      </c>
      <c r="F231" s="98" t="s">
        <v>2719</v>
      </c>
    </row>
    <row r="232" spans="1:6">
      <c r="A232" s="98" t="s">
        <v>32</v>
      </c>
      <c r="B232" s="98" t="s">
        <v>3002</v>
      </c>
      <c r="C232" s="98" t="s">
        <v>2720</v>
      </c>
      <c r="D232" s="99" t="s">
        <v>31</v>
      </c>
      <c r="E232" s="99" t="s">
        <v>31</v>
      </c>
      <c r="F232" s="98" t="s">
        <v>2721</v>
      </c>
    </row>
  </sheetData>
  <autoFilter ref="A1:F458" xr:uid="{AAB1BE6D-C903-454E-9B37-1F56A85C40A1}"/>
  <conditionalFormatting sqref="A1:A1048576">
    <cfRule type="duplicateValues" dxfId="3" priority="1"/>
  </conditionalFormatting>
  <printOptions gridLines="1"/>
  <pageMargins left="0.23622047244094491" right="0.23622047244094491" top="0.74803149606299213" bottom="0.74803149606299213" header="0.31496062992125984" footer="0.31496062992125984"/>
  <pageSetup paperSize="9" scale="69" fitToHeight="0" orientation="portrait" horizontalDpi="4294967293" verticalDpi="0" r:id="rId1"/>
  <headerFooter>
    <oddFooter>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D6419-4519-4306-B311-9F73937CB3F7}">
  <sheetPr>
    <pageSetUpPr fitToPage="1"/>
  </sheetPr>
  <dimension ref="A1:AA768"/>
  <sheetViews>
    <sheetView tabSelected="1" zoomScale="90" zoomScaleNormal="90" workbookViewId="0">
      <pane xSplit="7" ySplit="1" topLeftCell="J2" activePane="bottomRight" state="frozen"/>
      <selection pane="topRight" activeCell="F1" sqref="F1"/>
      <selection pane="bottomLeft" activeCell="A2" sqref="A2"/>
      <selection pane="bottomRight" activeCell="S27" sqref="S27"/>
    </sheetView>
  </sheetViews>
  <sheetFormatPr defaultColWidth="7.25" defaultRowHeight="12.75" customHeight="1"/>
  <cols>
    <col min="1" max="2" width="7.25" style="4"/>
    <col min="3" max="3" width="4.875" style="4" customWidth="1"/>
    <col min="4" max="4" width="12.375" style="1" customWidth="1"/>
    <col min="5" max="5" width="8.875" style="8" customWidth="1"/>
    <col min="6" max="6" width="56.625" style="4" customWidth="1"/>
    <col min="7" max="7" width="25.875" style="4" customWidth="1"/>
    <col min="8" max="8" width="5.5" style="1" customWidth="1"/>
    <col min="9" max="9" width="7.5" style="8" customWidth="1"/>
    <col min="10" max="13" width="9" style="384" customWidth="1"/>
    <col min="14" max="14" width="9.625" style="384" customWidth="1"/>
    <col min="15" max="15" width="2.75" style="7" customWidth="1"/>
    <col min="16" max="16" width="8.25" style="137" bestFit="1" customWidth="1"/>
    <col min="17" max="17" width="11.875" style="137" customWidth="1"/>
    <col min="18" max="18" width="5.75" style="134" customWidth="1"/>
    <col min="19" max="19" width="13.5" style="126" customWidth="1"/>
    <col min="20" max="21" width="11.875" style="169" customWidth="1"/>
    <col min="22" max="22" width="18.875" style="137" customWidth="1"/>
    <col min="23" max="23" width="4" style="3" customWidth="1"/>
    <col min="24" max="24" width="4.5" style="3" customWidth="1"/>
    <col min="25" max="25" width="13" style="2" customWidth="1"/>
    <col min="26" max="26" width="50.25" style="126" customWidth="1"/>
    <col min="27" max="27" width="7.25" style="1"/>
    <col min="28" max="16384" width="7.25" style="4"/>
  </cols>
  <sheetData>
    <row r="1" spans="1:27" ht="12.75" customHeight="1">
      <c r="C1" s="175" t="s">
        <v>2115</v>
      </c>
      <c r="D1" s="91" t="s">
        <v>2114</v>
      </c>
      <c r="E1" s="90" t="s">
        <v>2113</v>
      </c>
      <c r="F1" s="91" t="s">
        <v>2112</v>
      </c>
      <c r="G1" s="91" t="s">
        <v>2111</v>
      </c>
      <c r="H1" s="91" t="s">
        <v>2110</v>
      </c>
      <c r="I1" s="90" t="s">
        <v>2109</v>
      </c>
      <c r="J1" s="176" t="s">
        <v>2108</v>
      </c>
      <c r="K1" s="176" t="s">
        <v>2107</v>
      </c>
      <c r="L1" s="176" t="s">
        <v>2106</v>
      </c>
      <c r="M1" s="176" t="s">
        <v>2105</v>
      </c>
      <c r="N1" s="177" t="s">
        <v>2104</v>
      </c>
      <c r="P1" s="138" t="s">
        <v>2103</v>
      </c>
      <c r="Q1" s="138" t="s">
        <v>2102</v>
      </c>
      <c r="R1" s="105" t="s">
        <v>2101</v>
      </c>
      <c r="S1" s="103" t="s">
        <v>2100</v>
      </c>
      <c r="T1" s="138" t="s">
        <v>2099</v>
      </c>
      <c r="U1" s="138" t="s">
        <v>2098</v>
      </c>
      <c r="V1" s="138" t="s">
        <v>2097</v>
      </c>
      <c r="Y1" s="24" t="s">
        <v>2096</v>
      </c>
      <c r="Z1" s="104" t="s">
        <v>2095</v>
      </c>
      <c r="AA1" s="88" t="s">
        <v>2094</v>
      </c>
    </row>
    <row r="2" spans="1:27" ht="12.75" customHeight="1">
      <c r="A2" s="4">
        <f>IF(ISTEXT(E2),_xlfn.XLOOKUP(E2,'[1]SME09-01_LHM'!$D:$D,'[1]SME09-01_LHM'!$B:$B))</f>
        <v>1</v>
      </c>
      <c r="B2" s="4">
        <v>1</v>
      </c>
      <c r="C2" s="22">
        <f>ROW()-25</f>
        <v>-23</v>
      </c>
      <c r="D2" s="23" t="s">
        <v>1138</v>
      </c>
      <c r="E2" s="23" t="s">
        <v>2815</v>
      </c>
      <c r="F2" s="86" t="s">
        <v>2093</v>
      </c>
      <c r="G2" s="86" t="s">
        <v>2092</v>
      </c>
      <c r="H2" s="87" t="s">
        <v>2091</v>
      </c>
      <c r="I2" s="39" t="s">
        <v>2090</v>
      </c>
      <c r="J2" s="178"/>
      <c r="K2" s="179"/>
      <c r="L2" s="179"/>
      <c r="M2" s="180" t="s">
        <v>24</v>
      </c>
      <c r="N2" s="181" t="s">
        <v>27</v>
      </c>
      <c r="P2" s="139" t="s">
        <v>126</v>
      </c>
      <c r="Q2" s="139"/>
      <c r="R2" s="139" t="s">
        <v>2089</v>
      </c>
      <c r="S2" s="140"/>
      <c r="T2" s="141" t="s">
        <v>103</v>
      </c>
      <c r="U2" s="141" t="s">
        <v>103</v>
      </c>
      <c r="V2" s="139" t="s">
        <v>103</v>
      </c>
      <c r="W2" s="3" t="s">
        <v>24</v>
      </c>
      <c r="X2" s="3" t="s">
        <v>24</v>
      </c>
      <c r="Y2" s="182" t="str">
        <f>_xlfn.LET(_xlpm.v,_xlfn.XLOOKUP(E2,'[1]SME09-01_LHM'!$D:$D,'[1]SME09-01_LHM'!$AL:$AL),IF(_xlpm.v=0,"",_xlpm.v))</f>
        <v/>
      </c>
      <c r="Z2" s="104" t="str">
        <f>_xlfn.LET(_xlpm.v,IF(ISTEXT(Y2),_xlfn.XLOOKUP(Y2,'JP-PINT'!A:A,'JP-PINT'!B:B),""),IF(ISERROR(_xlpm.v),"",_xlpm.v))</f>
        <v/>
      </c>
      <c r="AA2" s="181" t="s">
        <v>24</v>
      </c>
    </row>
    <row r="3" spans="1:27" s="6" customFormat="1" ht="12.75" customHeight="1">
      <c r="A3" s="4">
        <f>IF(ISTEXT(E3),_xlfn.XLOOKUP(E3,'[1]SME09-01_LHM'!$D:$D,'[1]SME09-01_LHM'!$B:$B))</f>
        <v>2</v>
      </c>
      <c r="B3" s="4">
        <f>_xlfn.XLOOKUP(F3,'[1]SME09-01_LHM'!$I:$I,'[1]SME09-01_LHM'!$B:$B)</f>
        <v>2</v>
      </c>
      <c r="C3" s="22">
        <f>ROW()-25</f>
        <v>-22</v>
      </c>
      <c r="D3" s="84" t="s">
        <v>1138</v>
      </c>
      <c r="E3" s="84" t="s">
        <v>2088</v>
      </c>
      <c r="F3" s="85" t="s">
        <v>2087</v>
      </c>
      <c r="G3" s="85" t="s">
        <v>2086</v>
      </c>
      <c r="H3" s="26" t="s">
        <v>8</v>
      </c>
      <c r="I3" s="26" t="s">
        <v>74</v>
      </c>
      <c r="J3" s="183" t="s">
        <v>574</v>
      </c>
      <c r="K3" s="184" t="s">
        <v>574</v>
      </c>
      <c r="L3" s="184" t="s">
        <v>574</v>
      </c>
      <c r="M3" s="185"/>
      <c r="N3" s="181" t="s">
        <v>27</v>
      </c>
      <c r="O3" s="7"/>
      <c r="P3" s="139" t="s">
        <v>126</v>
      </c>
      <c r="Q3" s="139" t="s">
        <v>2085</v>
      </c>
      <c r="R3" s="139" t="s">
        <v>2016</v>
      </c>
      <c r="S3" s="140"/>
      <c r="T3" s="142" t="s">
        <v>103</v>
      </c>
      <c r="U3" s="142" t="s">
        <v>103</v>
      </c>
      <c r="V3" s="139" t="s">
        <v>103</v>
      </c>
      <c r="W3" s="3"/>
      <c r="X3" s="3"/>
      <c r="Y3" s="182" t="str">
        <f>_xlfn.LET(_xlpm.v,_xlfn.XLOOKUP(E3,'[1]SME09-01_LHM'!$D:$D,'[1]SME09-01_LHM'!$AL:$AL),IF(_xlpm.v=0,"",_xlpm.v))</f>
        <v/>
      </c>
      <c r="Z3" s="104" t="str">
        <f>_xlfn.LET(_xlpm.v,IF(ISTEXT(Y3),_xlfn.XLOOKUP(Y3,'JP-PINT'!A:A,'JP-PINT'!B:B),""),IF(ISERROR(_xlpm.v),"",_xlpm.v))</f>
        <v/>
      </c>
      <c r="AA3" s="181" t="s">
        <v>24</v>
      </c>
    </row>
    <row r="4" spans="1:27" s="6" customFormat="1" ht="12.75" customHeight="1">
      <c r="A4" s="4">
        <f>IF(ISTEXT(E4),_xlfn.XLOOKUP(E4,'[1]SME09-01_LHM'!$D:$D,'[1]SME09-01_LHM'!$B:$B))</f>
        <v>3</v>
      </c>
      <c r="B4" s="4">
        <f>_xlfn.XLOOKUP(F4,'[1]SME09-01_LHM'!$I:$I,'[1]SME09-01_LHM'!$B:$B)</f>
        <v>3</v>
      </c>
      <c r="C4" s="22">
        <f>ROW()-25</f>
        <v>-21</v>
      </c>
      <c r="D4" s="83" t="s">
        <v>1138</v>
      </c>
      <c r="E4" s="83" t="s">
        <v>2084</v>
      </c>
      <c r="F4" s="82" t="s">
        <v>2083</v>
      </c>
      <c r="G4" s="82" t="s">
        <v>2082</v>
      </c>
      <c r="H4" s="83" t="s">
        <v>8</v>
      </c>
      <c r="I4" s="16" t="s">
        <v>74</v>
      </c>
      <c r="J4" s="186" t="s">
        <v>574</v>
      </c>
      <c r="K4" s="187" t="s">
        <v>574</v>
      </c>
      <c r="L4" s="187" t="s">
        <v>574</v>
      </c>
      <c r="M4" s="186"/>
      <c r="N4" s="181" t="s">
        <v>27</v>
      </c>
      <c r="O4" s="7"/>
      <c r="P4" s="139" t="s">
        <v>126</v>
      </c>
      <c r="Q4" s="139" t="s">
        <v>2081</v>
      </c>
      <c r="R4" s="139" t="s">
        <v>10</v>
      </c>
      <c r="S4" s="140"/>
      <c r="T4" s="106" t="s">
        <v>103</v>
      </c>
      <c r="U4" s="142" t="s">
        <v>103</v>
      </c>
      <c r="V4" s="141" t="s">
        <v>103</v>
      </c>
      <c r="W4" s="3"/>
      <c r="X4" s="3"/>
      <c r="Y4" s="182" t="str">
        <f>_xlfn.LET(_xlpm.v,_xlfn.XLOOKUP(E4,'[1]SME09-01_LHM'!$D:$D,'[1]SME09-01_LHM'!$AL:$AL),IF(_xlpm.v=0,"",_xlpm.v))</f>
        <v/>
      </c>
      <c r="Z4" s="104" t="str">
        <f>_xlfn.LET(_xlpm.v,IF(ISTEXT(Y4),_xlfn.XLOOKUP(Y4,'JP-PINT'!A:A,'JP-PINT'!B:B),""),IF(ISERROR(_xlpm.v),"",_xlpm.v))</f>
        <v/>
      </c>
      <c r="AA4" s="181" t="s">
        <v>24</v>
      </c>
    </row>
    <row r="5" spans="1:27" s="6" customFormat="1" ht="12.75" customHeight="1">
      <c r="A5" s="4">
        <f>IF(ISTEXT(E5),_xlfn.XLOOKUP(E5,'[1]SME09-01_LHM'!$D:$D,'[1]SME09-01_LHM'!$B:$B))</f>
        <v>4</v>
      </c>
      <c r="B5" s="4">
        <f>_xlfn.XLOOKUP(F5,'[1]SME09-01_LHM'!$I:$I,'[1]SME09-01_LHM'!$B:$B)</f>
        <v>4</v>
      </c>
      <c r="C5" s="22">
        <f>ROW()-25</f>
        <v>-20</v>
      </c>
      <c r="D5" s="83" t="s">
        <v>1138</v>
      </c>
      <c r="E5" s="83" t="s">
        <v>2080</v>
      </c>
      <c r="F5" s="82" t="s">
        <v>2079</v>
      </c>
      <c r="G5" s="82" t="s">
        <v>2078</v>
      </c>
      <c r="H5" s="83" t="s">
        <v>8</v>
      </c>
      <c r="I5" s="16" t="s">
        <v>346</v>
      </c>
      <c r="J5" s="188" t="s">
        <v>574</v>
      </c>
      <c r="K5" s="181" t="s">
        <v>574</v>
      </c>
      <c r="L5" s="181" t="s">
        <v>574</v>
      </c>
      <c r="M5" s="186"/>
      <c r="N5" s="181" t="s">
        <v>27</v>
      </c>
      <c r="O5" s="7"/>
      <c r="P5" s="139" t="s">
        <v>126</v>
      </c>
      <c r="Q5" s="105" t="s">
        <v>2077</v>
      </c>
      <c r="R5" s="139" t="s">
        <v>10</v>
      </c>
      <c r="S5" s="140"/>
      <c r="T5" s="106"/>
      <c r="U5" s="142" t="s">
        <v>103</v>
      </c>
      <c r="V5" s="141" t="s">
        <v>103</v>
      </c>
      <c r="W5" s="3"/>
      <c r="X5" s="3"/>
      <c r="Y5" s="182" t="str">
        <f>_xlfn.LET(_xlpm.v,_xlfn.XLOOKUP(E5,'[1]SME09-01_LHM'!$D:$D,'[1]SME09-01_LHM'!$AL:$AL),IF(_xlpm.v=0,"",_xlpm.v))</f>
        <v/>
      </c>
      <c r="Z5" s="104" t="str">
        <f>_xlfn.LET(_xlpm.v,IF(ISTEXT(Y5),_xlfn.XLOOKUP(Y5,'JP-PINT'!A:A,'JP-PINT'!B:B),""),IF(ISERROR(_xlpm.v),"",_xlpm.v))</f>
        <v/>
      </c>
      <c r="AA5" s="181" t="s">
        <v>24</v>
      </c>
    </row>
    <row r="6" spans="1:27" s="6" customFormat="1" ht="12.75" customHeight="1">
      <c r="A6" s="4">
        <f>IF(ISTEXT(E6),_xlfn.XLOOKUP(E6,'[1]SME09-01_LHM'!$D:$D,'[1]SME09-01_LHM'!$B:$B))</f>
        <v>5</v>
      </c>
      <c r="B6" s="4">
        <f>_xlfn.XLOOKUP(F6,'[1]SME09-01_LHM'!$I:$I,'[1]SME09-01_LHM'!$B:$B)</f>
        <v>5</v>
      </c>
      <c r="C6" s="22">
        <f>ROW()-25</f>
        <v>-19</v>
      </c>
      <c r="D6" s="84" t="s">
        <v>1138</v>
      </c>
      <c r="E6" s="84" t="s">
        <v>2076</v>
      </c>
      <c r="F6" s="92" t="s">
        <v>2116</v>
      </c>
      <c r="G6" s="85" t="s">
        <v>2070</v>
      </c>
      <c r="H6" s="26" t="s">
        <v>31</v>
      </c>
      <c r="I6" s="26" t="s">
        <v>74</v>
      </c>
      <c r="J6" s="189" t="s">
        <v>2075</v>
      </c>
      <c r="K6" s="190" t="s">
        <v>574</v>
      </c>
      <c r="L6" s="190" t="s">
        <v>574</v>
      </c>
      <c r="M6" s="189"/>
      <c r="N6" s="187" t="s">
        <v>34</v>
      </c>
      <c r="O6" s="7"/>
      <c r="P6" s="139" t="s">
        <v>126</v>
      </c>
      <c r="Q6" s="139" t="s">
        <v>2074</v>
      </c>
      <c r="R6" s="139" t="s">
        <v>25</v>
      </c>
      <c r="S6" s="140"/>
      <c r="T6" s="106" t="s">
        <v>103</v>
      </c>
      <c r="U6" s="142" t="s">
        <v>24</v>
      </c>
      <c r="V6" s="141" t="s">
        <v>24</v>
      </c>
      <c r="W6" s="3"/>
      <c r="X6" s="3"/>
      <c r="Y6" s="182" t="str">
        <f>_xlfn.LET(_xlpm.v,_xlfn.XLOOKUP(E6,'[1]SME09-01_LHM'!$D:$D,'[1]SME09-01_LHM'!$AL:$AL),IF(_xlpm.v=0,"",_xlpm.v))</f>
        <v>IBG-02</v>
      </c>
      <c r="Z6" s="104" t="str">
        <f>_xlfn.LET(_xlpm.v,IF(ISTEXT(Y6),_xlfn.XLOOKUP(Y6,'JP-PINT'!A:A,'JP-PINT'!B:B),""),IF(ISERROR(_xlpm.v),"",_xlpm.v))</f>
        <v>PROCESS CONTROL</v>
      </c>
      <c r="AA6" s="16" t="s">
        <v>31</v>
      </c>
    </row>
    <row r="7" spans="1:27" s="6" customFormat="1" ht="12.75" customHeight="1">
      <c r="A7" s="4">
        <f>IF(ISTEXT(E7),_xlfn.XLOOKUP(E7,'[1]SME09-01_LHM'!$D:$D,'[1]SME09-01_LHM'!$B:$B))</f>
        <v>7</v>
      </c>
      <c r="B7" s="4">
        <f>_xlfn.XLOOKUP(F7,'[1]SME09-01_LHM'!$I:$I,'[1]SME09-01_LHM'!$B:$B)</f>
        <v>7</v>
      </c>
      <c r="C7" s="22">
        <f>ROW()-25</f>
        <v>-18</v>
      </c>
      <c r="D7" s="16" t="s">
        <v>1138</v>
      </c>
      <c r="E7" s="16" t="s">
        <v>2072</v>
      </c>
      <c r="F7" s="82" t="s">
        <v>2071</v>
      </c>
      <c r="G7" s="82" t="s">
        <v>2070</v>
      </c>
      <c r="H7" s="16" t="s">
        <v>8</v>
      </c>
      <c r="I7" s="16" t="s">
        <v>74</v>
      </c>
      <c r="J7" s="186" t="s">
        <v>574</v>
      </c>
      <c r="K7" s="187" t="s">
        <v>574</v>
      </c>
      <c r="L7" s="187" t="s">
        <v>574</v>
      </c>
      <c r="M7" s="186"/>
      <c r="N7" s="187" t="s">
        <v>443</v>
      </c>
      <c r="O7" s="7"/>
      <c r="P7" s="105" t="s">
        <v>126</v>
      </c>
      <c r="Q7" s="105" t="s">
        <v>2035</v>
      </c>
      <c r="R7" s="105" t="s">
        <v>10</v>
      </c>
      <c r="S7" s="140" t="s">
        <v>64</v>
      </c>
      <c r="T7" s="142" t="s">
        <v>63</v>
      </c>
      <c r="U7" s="142" t="s">
        <v>2069</v>
      </c>
      <c r="V7" s="140"/>
      <c r="W7" s="3"/>
      <c r="X7" s="3"/>
      <c r="Y7" s="182" t="str">
        <f>_xlfn.LET(_xlpm.v,_xlfn.XLOOKUP(E7,'[1]SME09-01_LHM'!$D:$D,'[1]SME09-01_LHM'!$AL:$AL),IF(_xlpm.v=0,"",_xlpm.v))</f>
        <v>IBT-023</v>
      </c>
      <c r="Z7" s="104" t="str">
        <f>_xlfn.LET(_xlpm.v,IF(ISTEXT(Y7),_xlfn.XLOOKUP(Y7,'JP-PINT'!A:A,'JP-PINT'!B:B),""),IF(ISERROR(_xlpm.v),"",_xlpm.v))</f>
        <v>Business process type</v>
      </c>
      <c r="AA7" s="16" t="s">
        <v>31</v>
      </c>
    </row>
    <row r="8" spans="1:27" s="6" customFormat="1" ht="12.75" customHeight="1">
      <c r="A8" s="4">
        <f>IF(ISTEXT(E8),_xlfn.XLOOKUP(E8,'[1]SME09-01_LHM'!$D:$D,'[1]SME09-01_LHM'!$B:$B))</f>
        <v>8</v>
      </c>
      <c r="B8" s="4">
        <f>_xlfn.XLOOKUP(F8,'[1]SME09-01_LHM'!$I:$I,'[1]SME09-01_LHM'!$B:$B)</f>
        <v>8</v>
      </c>
      <c r="C8" s="22">
        <f>ROW()-25</f>
        <v>-17</v>
      </c>
      <c r="D8" s="83" t="s">
        <v>1138</v>
      </c>
      <c r="E8" s="83" t="s">
        <v>2067</v>
      </c>
      <c r="F8" s="82" t="s">
        <v>2066</v>
      </c>
      <c r="G8" s="82" t="s">
        <v>2065</v>
      </c>
      <c r="H8" s="83" t="s">
        <v>8</v>
      </c>
      <c r="I8" s="16" t="s">
        <v>74</v>
      </c>
      <c r="J8" s="188" t="s">
        <v>574</v>
      </c>
      <c r="K8" s="181" t="s">
        <v>574</v>
      </c>
      <c r="L8" s="181" t="s">
        <v>574</v>
      </c>
      <c r="M8" s="186"/>
      <c r="N8" s="181" t="s">
        <v>27</v>
      </c>
      <c r="O8" s="7"/>
      <c r="P8" s="139" t="s">
        <v>126</v>
      </c>
      <c r="Q8" s="139" t="s">
        <v>2029</v>
      </c>
      <c r="R8" s="139" t="s">
        <v>10</v>
      </c>
      <c r="S8" s="140"/>
      <c r="T8" s="142"/>
      <c r="U8" s="142" t="s">
        <v>24</v>
      </c>
      <c r="V8" s="140" t="s">
        <v>24</v>
      </c>
      <c r="W8" s="3"/>
      <c r="X8" s="3"/>
      <c r="Y8" s="182" t="str">
        <f>_xlfn.LET(_xlpm.v,_xlfn.XLOOKUP(E8,'[1]SME09-01_LHM'!$D:$D,'[1]SME09-01_LHM'!$AL:$AL),IF(_xlpm.v=0,"",_xlpm.v))</f>
        <v/>
      </c>
      <c r="Z8" s="104" t="str">
        <f>_xlfn.LET(_xlpm.v,IF(ISTEXT(Y8),_xlfn.XLOOKUP(Y8,'JP-PINT'!A:A,'JP-PINT'!B:B),""),IF(ISERROR(_xlpm.v),"",_xlpm.v))</f>
        <v/>
      </c>
      <c r="AA8" s="181" t="s">
        <v>24</v>
      </c>
    </row>
    <row r="9" spans="1:27" ht="12.75" customHeight="1">
      <c r="A9" s="4">
        <f>IF(ISTEXT(E9),_xlfn.XLOOKUP(E9,'[1]SME09-01_LHM'!$D:$D,'[1]SME09-01_LHM'!$B:$B))</f>
        <v>11</v>
      </c>
      <c r="B9" s="4">
        <f>_xlfn.XLOOKUP(F9,'[1]SME09-01_LHM'!$I:$I,'[1]SME09-01_LHM'!$B:$B)</f>
        <v>11</v>
      </c>
      <c r="C9" s="22">
        <f>ROW()-25</f>
        <v>-16</v>
      </c>
      <c r="D9" s="80" t="s">
        <v>1138</v>
      </c>
      <c r="E9" s="80" t="s">
        <v>2064</v>
      </c>
      <c r="F9" s="81" t="s">
        <v>2027</v>
      </c>
      <c r="G9" s="81" t="s">
        <v>2063</v>
      </c>
      <c r="H9" s="16" t="s">
        <v>8</v>
      </c>
      <c r="I9" s="16" t="s">
        <v>74</v>
      </c>
      <c r="J9" s="186" t="s">
        <v>574</v>
      </c>
      <c r="K9" s="187" t="s">
        <v>574</v>
      </c>
      <c r="L9" s="187" t="s">
        <v>574</v>
      </c>
      <c r="M9" s="186"/>
      <c r="N9" s="187" t="s">
        <v>183</v>
      </c>
      <c r="P9" s="143" t="s">
        <v>126</v>
      </c>
      <c r="Q9" s="143" t="s">
        <v>2025</v>
      </c>
      <c r="R9" s="143" t="s">
        <v>10</v>
      </c>
      <c r="S9" s="144"/>
      <c r="T9" s="145"/>
      <c r="U9" s="145"/>
      <c r="V9" s="145"/>
      <c r="Y9" s="182" t="str">
        <f>_xlfn.LET(_xlpm.v,_xlfn.XLOOKUP(E9,'[1]SME09-01_LHM'!$D:$D,'[1]SME09-01_LHM'!$AL:$AL),IF(_xlpm.v=0,"",_xlpm.v))</f>
        <v>IBT-024</v>
      </c>
      <c r="Z9" s="104" t="str">
        <f>_xlfn.LET(_xlpm.v,IF(ISTEXT(Y9),_xlfn.XLOOKUP(Y9,'JP-PINT'!A:A,'JP-PINT'!B:B),""),IF(ISERROR(_xlpm.v),"",_xlpm.v))</f>
        <v>Specification identifier</v>
      </c>
      <c r="AA9" s="23" t="s">
        <v>31</v>
      </c>
    </row>
    <row r="10" spans="1:27" ht="12.75" customHeight="1">
      <c r="A10" s="4">
        <f>IF(ISTEXT(E10),_xlfn.XLOOKUP(E10,'[1]SME09-01_LHM'!$D:$D,'[1]SME09-01_LHM'!$B:$B))</f>
        <v>12</v>
      </c>
      <c r="B10" s="4">
        <f>_xlfn.XLOOKUP(F10,'[1]SME09-01_LHM'!$I:$I,'[1]SME09-01_LHM'!$B:$B)</f>
        <v>12</v>
      </c>
      <c r="C10" s="22">
        <f>ROW()-25</f>
        <v>-15</v>
      </c>
      <c r="D10" s="80" t="s">
        <v>1138</v>
      </c>
      <c r="E10" s="80" t="s">
        <v>2061</v>
      </c>
      <c r="F10" s="81" t="s">
        <v>2023</v>
      </c>
      <c r="G10" s="81" t="s">
        <v>2060</v>
      </c>
      <c r="H10" s="16" t="s">
        <v>8</v>
      </c>
      <c r="I10" s="16" t="s">
        <v>74</v>
      </c>
      <c r="J10" s="186" t="s">
        <v>574</v>
      </c>
      <c r="K10" s="187" t="s">
        <v>574</v>
      </c>
      <c r="L10" s="187" t="s">
        <v>574</v>
      </c>
      <c r="M10" s="186"/>
      <c r="N10" s="187" t="s">
        <v>27</v>
      </c>
      <c r="P10" s="143" t="s">
        <v>126</v>
      </c>
      <c r="Q10" s="143" t="s">
        <v>2021</v>
      </c>
      <c r="R10" s="143" t="s">
        <v>10</v>
      </c>
      <c r="S10" s="144"/>
      <c r="T10" s="146"/>
      <c r="U10" s="147" t="s">
        <v>24</v>
      </c>
      <c r="V10" s="145" t="s">
        <v>24</v>
      </c>
      <c r="Y10" s="182" t="str">
        <f>_xlfn.LET(_xlpm.v,_xlfn.XLOOKUP(E10,'[1]SME09-01_LHM'!$D:$D,'[1]SME09-01_LHM'!$AL:$AL),IF(_xlpm.v=0,"",_xlpm.v))</f>
        <v/>
      </c>
      <c r="Z10" s="104" t="str">
        <f>_xlfn.LET(_xlpm.v,IF(ISTEXT(Y10),_xlfn.XLOOKUP(Y10,'JP-PINT'!A:A,'JP-PINT'!B:B),""),IF(ISERROR(_xlpm.v),"",_xlpm.v))</f>
        <v/>
      </c>
      <c r="AA10" s="187" t="s">
        <v>24</v>
      </c>
    </row>
    <row r="11" spans="1:27" s="137" customFormat="1" ht="12.75" customHeight="1">
      <c r="A11" s="4">
        <f>IF(ISTEXT(E11),_xlfn.XLOOKUP(E11,'[1]SME09-01_LHM'!$D:$D,'[1]SME09-01_LHM'!$B:$B))</f>
        <v>13</v>
      </c>
      <c r="B11" s="4">
        <f>_xlfn.XLOOKUP(F11,'[1]SME09-01_LHM'!$I:$I,'[1]SME09-01_LHM'!$B:$B)</f>
        <v>13</v>
      </c>
      <c r="C11" s="102">
        <f>ROW()-25</f>
        <v>-14</v>
      </c>
      <c r="D11" s="145" t="s">
        <v>1138</v>
      </c>
      <c r="E11" s="145" t="s">
        <v>2059</v>
      </c>
      <c r="F11" s="92" t="s">
        <v>2117</v>
      </c>
      <c r="G11" s="143" t="s">
        <v>2058</v>
      </c>
      <c r="H11" s="145" t="s">
        <v>8</v>
      </c>
      <c r="I11" s="103" t="s">
        <v>74</v>
      </c>
      <c r="J11" s="191" t="s">
        <v>574</v>
      </c>
      <c r="K11" s="191" t="s">
        <v>574</v>
      </c>
      <c r="L11" s="191" t="s">
        <v>574</v>
      </c>
      <c r="M11" s="191"/>
      <c r="N11" s="191" t="s">
        <v>27</v>
      </c>
      <c r="O11" s="136"/>
      <c r="P11" s="143" t="s">
        <v>126</v>
      </c>
      <c r="Q11" s="143" t="s">
        <v>2057</v>
      </c>
      <c r="R11" s="143" t="s">
        <v>25</v>
      </c>
      <c r="S11" s="144"/>
      <c r="T11" s="146"/>
      <c r="U11" s="147" t="s">
        <v>24</v>
      </c>
      <c r="V11" s="145" t="s">
        <v>24</v>
      </c>
      <c r="W11" s="107"/>
      <c r="X11" s="107"/>
      <c r="Y11" s="192" t="str">
        <f>_xlfn.LET(_xlpm.v,_xlfn.XLOOKUP(E11,'[1]SME09-01_LHM'!$D:$D,'[1]SME09-01_LHM'!$AL:$AL),IF(_xlpm.v=0,"",_xlpm.v))</f>
        <v/>
      </c>
      <c r="Z11" s="104" t="str">
        <f>_xlfn.LET(_xlpm.v,IF(ISTEXT(Y11),_xlfn.XLOOKUP(Y11,'JP-PINT'!A:A,'JP-PINT'!B:B),""),IF(ISERROR(_xlpm.v),"",_xlpm.v))</f>
        <v/>
      </c>
      <c r="AA11" s="191" t="s">
        <v>24</v>
      </c>
    </row>
    <row r="12" spans="1:27" ht="12.75" customHeight="1">
      <c r="A12" s="4">
        <f>IF(ISTEXT(E12),_xlfn.XLOOKUP(E12,'[1]SME09-01_LHM'!$D:$D,'[1]SME09-01_LHM'!$B:$B))</f>
        <v>15</v>
      </c>
      <c r="B12" s="4">
        <f>_xlfn.XLOOKUP(F12,'[1]SME09-01_LHM'!$I:$I,'[1]SME09-01_LHM'!$B:$B)</f>
        <v>15</v>
      </c>
      <c r="C12" s="22">
        <f>ROW()-25</f>
        <v>-13</v>
      </c>
      <c r="D12" s="80" t="s">
        <v>1138</v>
      </c>
      <c r="E12" s="80" t="s">
        <v>2056</v>
      </c>
      <c r="F12" s="81" t="s">
        <v>2055</v>
      </c>
      <c r="G12" s="81" t="s">
        <v>2054</v>
      </c>
      <c r="H12" s="80" t="s">
        <v>8</v>
      </c>
      <c r="I12" s="16" t="s">
        <v>74</v>
      </c>
      <c r="J12" s="186" t="s">
        <v>574</v>
      </c>
      <c r="K12" s="187" t="s">
        <v>574</v>
      </c>
      <c r="L12" s="187" t="s">
        <v>574</v>
      </c>
      <c r="M12" s="186"/>
      <c r="N12" s="187" t="s">
        <v>27</v>
      </c>
      <c r="P12" s="143" t="s">
        <v>126</v>
      </c>
      <c r="Q12" s="143" t="s">
        <v>2035</v>
      </c>
      <c r="R12" s="143" t="s">
        <v>10</v>
      </c>
      <c r="S12" s="144"/>
      <c r="T12" s="147"/>
      <c r="U12" s="147"/>
      <c r="V12" s="144" t="s">
        <v>24</v>
      </c>
      <c r="Y12" s="182" t="str">
        <f>_xlfn.LET(_xlpm.v,_xlfn.XLOOKUP(E12,'[1]SME09-01_LHM'!$D:$D,'[1]SME09-01_LHM'!$AL:$AL),IF(_xlpm.v=0,"",_xlpm.v))</f>
        <v/>
      </c>
      <c r="Z12" s="104" t="str">
        <f>_xlfn.LET(_xlpm.v,IF(ISTEXT(Y12),_xlfn.XLOOKUP(Y12,'JP-PINT'!A:A,'JP-PINT'!B:B),""),IF(ISERROR(_xlpm.v),"",_xlpm.v))</f>
        <v/>
      </c>
      <c r="AA12" s="187" t="s">
        <v>24</v>
      </c>
    </row>
    <row r="13" spans="1:27" ht="12.75" customHeight="1">
      <c r="A13" s="4">
        <f>IF(ISTEXT(E13),_xlfn.XLOOKUP(E13,'[1]SME09-01_LHM'!$D:$D,'[1]SME09-01_LHM'!$B:$B))</f>
        <v>16</v>
      </c>
      <c r="B13" s="4">
        <f>_xlfn.XLOOKUP(F13,'[1]SME09-01_LHM'!$I:$I,'[1]SME09-01_LHM'!$B:$B)</f>
        <v>16</v>
      </c>
      <c r="C13" s="22">
        <f>ROW()-25</f>
        <v>-12</v>
      </c>
      <c r="D13" s="80" t="s">
        <v>1138</v>
      </c>
      <c r="E13" s="80" t="s">
        <v>2053</v>
      </c>
      <c r="F13" s="81" t="s">
        <v>2052</v>
      </c>
      <c r="G13" s="81" t="s">
        <v>2051</v>
      </c>
      <c r="H13" s="80" t="s">
        <v>8</v>
      </c>
      <c r="I13" s="16" t="s">
        <v>74</v>
      </c>
      <c r="J13" s="186" t="s">
        <v>574</v>
      </c>
      <c r="K13" s="187" t="s">
        <v>574</v>
      </c>
      <c r="L13" s="187" t="s">
        <v>574</v>
      </c>
      <c r="M13" s="186"/>
      <c r="N13" s="187" t="s">
        <v>27</v>
      </c>
      <c r="P13" s="143" t="s">
        <v>126</v>
      </c>
      <c r="Q13" s="143" t="s">
        <v>2029</v>
      </c>
      <c r="R13" s="143" t="s">
        <v>10</v>
      </c>
      <c r="S13" s="144"/>
      <c r="T13" s="147"/>
      <c r="U13" s="147" t="s">
        <v>24</v>
      </c>
      <c r="V13" s="144" t="s">
        <v>24</v>
      </c>
      <c r="Y13" s="182" t="str">
        <f>_xlfn.LET(_xlpm.v,_xlfn.XLOOKUP(E13,'[1]SME09-01_LHM'!$D:$D,'[1]SME09-01_LHM'!$AL:$AL),IF(_xlpm.v=0,"",_xlpm.v))</f>
        <v/>
      </c>
      <c r="Z13" s="104" t="str">
        <f>_xlfn.LET(_xlpm.v,IF(ISTEXT(Y13),_xlfn.XLOOKUP(Y13,'JP-PINT'!A:A,'JP-PINT'!B:B),""),IF(ISERROR(_xlpm.v),"",_xlpm.v))</f>
        <v/>
      </c>
      <c r="AA13" s="187" t="s">
        <v>24</v>
      </c>
    </row>
    <row r="14" spans="1:27" s="137" customFormat="1" ht="12.75" customHeight="1">
      <c r="A14" s="4">
        <f>IF(ISTEXT(E14),_xlfn.XLOOKUP(E14,'[1]SME09-01_LHM'!$D:$D,'[1]SME09-01_LHM'!$B:$B))</f>
        <v>17</v>
      </c>
      <c r="B14" s="4">
        <f>_xlfn.XLOOKUP(F14,'[1]SME09-01_LHM'!$I:$I,'[1]SME09-01_LHM'!$B:$B)</f>
        <v>17</v>
      </c>
      <c r="C14" s="102">
        <f>ROW()-25</f>
        <v>-11</v>
      </c>
      <c r="D14" s="145" t="s">
        <v>1138</v>
      </c>
      <c r="E14" s="145" t="s">
        <v>2050</v>
      </c>
      <c r="F14" s="92" t="s">
        <v>2118</v>
      </c>
      <c r="G14" s="143" t="s">
        <v>2049</v>
      </c>
      <c r="H14" s="145" t="s">
        <v>8</v>
      </c>
      <c r="I14" s="103" t="s">
        <v>74</v>
      </c>
      <c r="J14" s="193" t="s">
        <v>574</v>
      </c>
      <c r="K14" s="191" t="s">
        <v>574</v>
      </c>
      <c r="L14" s="191" t="s">
        <v>574</v>
      </c>
      <c r="M14" s="193"/>
      <c r="N14" s="191" t="s">
        <v>27</v>
      </c>
      <c r="O14" s="136"/>
      <c r="P14" s="143" t="s">
        <v>126</v>
      </c>
      <c r="Q14" s="143" t="s">
        <v>2048</v>
      </c>
      <c r="R14" s="143" t="s">
        <v>25</v>
      </c>
      <c r="S14" s="144"/>
      <c r="T14" s="146"/>
      <c r="U14" s="147" t="s">
        <v>24</v>
      </c>
      <c r="V14" s="145" t="s">
        <v>24</v>
      </c>
      <c r="W14" s="107"/>
      <c r="X14" s="107"/>
      <c r="Y14" s="192" t="str">
        <f>_xlfn.LET(_xlpm.v,_xlfn.XLOOKUP(E14,'[1]SME09-01_LHM'!$D:$D,'[1]SME09-01_LHM'!$AL:$AL),IF(_xlpm.v=0,"",_xlpm.v))</f>
        <v/>
      </c>
      <c r="Z14" s="104" t="str">
        <f>_xlfn.LET(_xlpm.v,IF(ISTEXT(Y14),_xlfn.XLOOKUP(Y14,'JP-PINT'!A:A,'JP-PINT'!B:B),""),IF(ISERROR(_xlpm.v),"",_xlpm.v))</f>
        <v/>
      </c>
      <c r="AA14" s="191" t="s">
        <v>24</v>
      </c>
    </row>
    <row r="15" spans="1:27" s="137" customFormat="1" ht="12.75" customHeight="1">
      <c r="A15" s="4">
        <f>IF(ISTEXT(E15),_xlfn.XLOOKUP(E15,'[1]SME09-01_LHM'!$D:$D,'[1]SME09-01_LHM'!$B:$B))</f>
        <v>19</v>
      </c>
      <c r="B15" s="4">
        <f>_xlfn.XLOOKUP(F15,'[1]SME09-01_LHM'!$I:$I,'[1]SME09-01_LHM'!$B:$B)</f>
        <v>19</v>
      </c>
      <c r="C15" s="102">
        <f>ROW()-25</f>
        <v>-10</v>
      </c>
      <c r="D15" s="145" t="s">
        <v>1138</v>
      </c>
      <c r="E15" s="145" t="s">
        <v>2047</v>
      </c>
      <c r="F15" s="143" t="s">
        <v>2046</v>
      </c>
      <c r="G15" s="143" t="s">
        <v>2045</v>
      </c>
      <c r="H15" s="145" t="s">
        <v>8</v>
      </c>
      <c r="I15" s="103" t="s">
        <v>74</v>
      </c>
      <c r="J15" s="193" t="s">
        <v>574</v>
      </c>
      <c r="K15" s="191" t="s">
        <v>574</v>
      </c>
      <c r="L15" s="191" t="s">
        <v>574</v>
      </c>
      <c r="M15" s="193"/>
      <c r="N15" s="191" t="s">
        <v>27</v>
      </c>
      <c r="O15" s="136"/>
      <c r="P15" s="143" t="s">
        <v>126</v>
      </c>
      <c r="Q15" s="143" t="s">
        <v>2035</v>
      </c>
      <c r="R15" s="143" t="s">
        <v>10</v>
      </c>
      <c r="S15" s="144"/>
      <c r="T15" s="138"/>
      <c r="U15" s="145"/>
      <c r="V15" s="145"/>
      <c r="W15" s="107"/>
      <c r="X15" s="107"/>
      <c r="Y15" s="192" t="str">
        <f>_xlfn.LET(_xlpm.v,_xlfn.XLOOKUP(E15,'[1]SME09-01_LHM'!$D:$D,'[1]SME09-01_LHM'!$AL:$AL),IF(_xlpm.v=0,"",_xlpm.v))</f>
        <v/>
      </c>
      <c r="Z15" s="104" t="str">
        <f>_xlfn.LET(_xlpm.v,IF(ISTEXT(Y15),_xlfn.XLOOKUP(Y15,'JP-PINT'!A:A,'JP-PINT'!B:B),""),IF(ISERROR(_xlpm.v),"",_xlpm.v))</f>
        <v/>
      </c>
      <c r="AA15" s="191" t="s">
        <v>24</v>
      </c>
    </row>
    <row r="16" spans="1:27" s="137" customFormat="1" ht="12.75" customHeight="1">
      <c r="A16" s="4">
        <f>IF(ISTEXT(E16),_xlfn.XLOOKUP(E16,'[1]SME09-01_LHM'!$D:$D,'[1]SME09-01_LHM'!$B:$B))</f>
        <v>20</v>
      </c>
      <c r="B16" s="4">
        <f>_xlfn.XLOOKUP(F16,'[1]SME09-01_LHM'!$I:$I,'[1]SME09-01_LHM'!$B:$B)</f>
        <v>20</v>
      </c>
      <c r="C16" s="102">
        <f>ROW()-25</f>
        <v>-9</v>
      </c>
      <c r="D16" s="145" t="s">
        <v>1138</v>
      </c>
      <c r="E16" s="145" t="s">
        <v>2044</v>
      </c>
      <c r="F16" s="143" t="s">
        <v>2043</v>
      </c>
      <c r="G16" s="143" t="s">
        <v>2042</v>
      </c>
      <c r="H16" s="145" t="s">
        <v>8</v>
      </c>
      <c r="I16" s="103" t="s">
        <v>74</v>
      </c>
      <c r="J16" s="193" t="s">
        <v>574</v>
      </c>
      <c r="K16" s="191" t="s">
        <v>574</v>
      </c>
      <c r="L16" s="191" t="s">
        <v>574</v>
      </c>
      <c r="M16" s="193"/>
      <c r="N16" s="191" t="s">
        <v>27</v>
      </c>
      <c r="O16" s="136"/>
      <c r="P16" s="143" t="s">
        <v>126</v>
      </c>
      <c r="Q16" s="143" t="s">
        <v>2029</v>
      </c>
      <c r="R16" s="143" t="s">
        <v>10</v>
      </c>
      <c r="S16" s="144"/>
      <c r="T16" s="138"/>
      <c r="U16" s="145" t="s">
        <v>24</v>
      </c>
      <c r="V16" s="145" t="s">
        <v>24</v>
      </c>
      <c r="W16" s="107"/>
      <c r="X16" s="107"/>
      <c r="Y16" s="192" t="str">
        <f>_xlfn.LET(_xlpm.v,_xlfn.XLOOKUP(E16,'[1]SME09-01_LHM'!$D:$D,'[1]SME09-01_LHM'!$AL:$AL),IF(_xlpm.v=0,"",_xlpm.v))</f>
        <v/>
      </c>
      <c r="Z16" s="104" t="str">
        <f>_xlfn.LET(_xlpm.v,IF(ISTEXT(Y16),_xlfn.XLOOKUP(Y16,'JP-PINT'!A:A,'JP-PINT'!B:B),""),IF(ISERROR(_xlpm.v),"",_xlpm.v))</f>
        <v/>
      </c>
      <c r="AA16" s="191" t="s">
        <v>24</v>
      </c>
    </row>
    <row r="17" spans="1:27" s="137" customFormat="1" ht="12.75" customHeight="1">
      <c r="A17" s="4">
        <f>IF(ISTEXT(E17),_xlfn.XLOOKUP(E17,'[1]SME09-01_LHM'!$D:$D,'[1]SME09-01_LHM'!$B:$B))</f>
        <v>21</v>
      </c>
      <c r="B17" s="4">
        <f>_xlfn.XLOOKUP(F17,'[1]SME09-01_LHM'!$I:$I,'[1]SME09-01_LHM'!$B:$B)</f>
        <v>21</v>
      </c>
      <c r="C17" s="102">
        <f>ROW()-25</f>
        <v>-8</v>
      </c>
      <c r="D17" s="145" t="s">
        <v>1138</v>
      </c>
      <c r="E17" s="145" t="s">
        <v>2041</v>
      </c>
      <c r="F17" s="92" t="s">
        <v>2119</v>
      </c>
      <c r="G17" s="143" t="s">
        <v>2040</v>
      </c>
      <c r="H17" s="103" t="s">
        <v>31</v>
      </c>
      <c r="I17" s="103" t="s">
        <v>74</v>
      </c>
      <c r="J17" s="193" t="s">
        <v>574</v>
      </c>
      <c r="K17" s="191" t="s">
        <v>574</v>
      </c>
      <c r="L17" s="191" t="s">
        <v>574</v>
      </c>
      <c r="M17" s="193"/>
      <c r="N17" s="191" t="s">
        <v>27</v>
      </c>
      <c r="O17" s="136"/>
      <c r="P17" s="143" t="s">
        <v>126</v>
      </c>
      <c r="Q17" s="102" t="s">
        <v>2039</v>
      </c>
      <c r="R17" s="143" t="s">
        <v>25</v>
      </c>
      <c r="S17" s="144" t="s">
        <v>24</v>
      </c>
      <c r="T17" s="145" t="s">
        <v>24</v>
      </c>
      <c r="U17" s="145" t="s">
        <v>24</v>
      </c>
      <c r="V17" s="143" t="s">
        <v>24</v>
      </c>
      <c r="W17" s="107"/>
      <c r="X17" s="107"/>
      <c r="Y17" s="192" t="str">
        <f>_xlfn.LET(_xlpm.v,_xlfn.XLOOKUP(E17,'[1]SME09-01_LHM'!$D:$D,'[1]SME09-01_LHM'!$AL:$AL),IF(_xlpm.v=0,"",_xlpm.v))</f>
        <v/>
      </c>
      <c r="Z17" s="104" t="str">
        <f>_xlfn.LET(_xlpm.v,IF(ISTEXT(Y17),_xlfn.XLOOKUP(Y17,'JP-PINT'!A:A,'JP-PINT'!B:B),""),IF(ISERROR(_xlpm.v),"",_xlpm.v))</f>
        <v/>
      </c>
      <c r="AA17" s="191" t="s">
        <v>24</v>
      </c>
    </row>
    <row r="18" spans="1:27" s="137" customFormat="1" ht="12.75" customHeight="1">
      <c r="A18" s="4">
        <f>IF(ISTEXT(E18),_xlfn.XLOOKUP(E18,'[1]SME09-01_LHM'!$D:$D,'[1]SME09-01_LHM'!$B:$B))</f>
        <v>23</v>
      </c>
      <c r="B18" s="4">
        <f>_xlfn.XLOOKUP(F18,'[1]SME09-01_LHM'!$I:$I,'[1]SME09-01_LHM'!$B:$B)</f>
        <v>23</v>
      </c>
      <c r="C18" s="102">
        <f>ROW()-25</f>
        <v>-7</v>
      </c>
      <c r="D18" s="145" t="s">
        <v>1138</v>
      </c>
      <c r="E18" s="145" t="s">
        <v>2038</v>
      </c>
      <c r="F18" s="143" t="s">
        <v>2037</v>
      </c>
      <c r="G18" s="143" t="s">
        <v>2036</v>
      </c>
      <c r="H18" s="103" t="s">
        <v>8</v>
      </c>
      <c r="I18" s="103" t="s">
        <v>74</v>
      </c>
      <c r="J18" s="193" t="s">
        <v>574</v>
      </c>
      <c r="K18" s="191" t="s">
        <v>574</v>
      </c>
      <c r="L18" s="191" t="s">
        <v>574</v>
      </c>
      <c r="M18" s="193"/>
      <c r="N18" s="191" t="s">
        <v>27</v>
      </c>
      <c r="O18" s="136"/>
      <c r="P18" s="143" t="s">
        <v>126</v>
      </c>
      <c r="Q18" s="143" t="s">
        <v>2035</v>
      </c>
      <c r="R18" s="143" t="s">
        <v>10</v>
      </c>
      <c r="S18" s="144" t="s">
        <v>64</v>
      </c>
      <c r="T18" s="138" t="s">
        <v>63</v>
      </c>
      <c r="U18" s="145" t="s">
        <v>2034</v>
      </c>
      <c r="V18" s="145" t="s">
        <v>2033</v>
      </c>
      <c r="W18" s="107"/>
      <c r="X18" s="107"/>
      <c r="Y18" s="192" t="str">
        <f>_xlfn.LET(_xlpm.v,_xlfn.XLOOKUP(E18,'[1]SME09-01_LHM'!$D:$D,'[1]SME09-01_LHM'!$AL:$AL),IF(_xlpm.v=0,"",_xlpm.v))</f>
        <v/>
      </c>
      <c r="Z18" s="104" t="str">
        <f>_xlfn.LET(_xlpm.v,IF(ISTEXT(Y18),_xlfn.XLOOKUP(Y18,'JP-PINT'!A:A,'JP-PINT'!B:B),""),IF(ISERROR(_xlpm.v),"",_xlpm.v))</f>
        <v/>
      </c>
      <c r="AA18" s="191" t="s">
        <v>24</v>
      </c>
    </row>
    <row r="19" spans="1:27" s="137" customFormat="1" ht="12.75" customHeight="1">
      <c r="A19" s="4">
        <f>IF(ISTEXT(E19),_xlfn.XLOOKUP(E19,'[1]SME09-01_LHM'!$D:$D,'[1]SME09-01_LHM'!$B:$B))</f>
        <v>24</v>
      </c>
      <c r="B19" s="4">
        <f>_xlfn.XLOOKUP(F19,'[1]SME09-01_LHM'!$I:$I,'[1]SME09-01_LHM'!$B:$B)</f>
        <v>24</v>
      </c>
      <c r="C19" s="102">
        <f>ROW()-25</f>
        <v>-6</v>
      </c>
      <c r="D19" s="145" t="s">
        <v>1138</v>
      </c>
      <c r="E19" s="145" t="s">
        <v>2032</v>
      </c>
      <c r="F19" s="143" t="s">
        <v>2031</v>
      </c>
      <c r="G19" s="143" t="s">
        <v>2030</v>
      </c>
      <c r="H19" s="145" t="s">
        <v>8</v>
      </c>
      <c r="I19" s="103" t="s">
        <v>74</v>
      </c>
      <c r="J19" s="193" t="s">
        <v>574</v>
      </c>
      <c r="K19" s="191" t="s">
        <v>574</v>
      </c>
      <c r="L19" s="191" t="s">
        <v>574</v>
      </c>
      <c r="M19" s="193"/>
      <c r="N19" s="191" t="s">
        <v>27</v>
      </c>
      <c r="O19" s="136"/>
      <c r="P19" s="143" t="s">
        <v>126</v>
      </c>
      <c r="Q19" s="143" t="s">
        <v>2029</v>
      </c>
      <c r="R19" s="143" t="s">
        <v>10</v>
      </c>
      <c r="S19" s="144"/>
      <c r="T19" s="138"/>
      <c r="U19" s="145"/>
      <c r="V19" s="145" t="s">
        <v>24</v>
      </c>
      <c r="W19" s="107"/>
      <c r="X19" s="107"/>
      <c r="Y19" s="192" t="str">
        <f>_xlfn.LET(_xlpm.v,_xlfn.XLOOKUP(E19,'[1]SME09-01_LHM'!$D:$D,'[1]SME09-01_LHM'!$AL:$AL),IF(_xlpm.v=0,"",_xlpm.v))</f>
        <v/>
      </c>
      <c r="Z19" s="104" t="str">
        <f>_xlfn.LET(_xlpm.v,IF(ISTEXT(Y19),_xlfn.XLOOKUP(Y19,'JP-PINT'!A:A,'JP-PINT'!B:B),""),IF(ISERROR(_xlpm.v),"",_xlpm.v))</f>
        <v/>
      </c>
      <c r="AA19" s="191" t="s">
        <v>24</v>
      </c>
    </row>
    <row r="20" spans="1:27" s="137" customFormat="1" ht="12.75" customHeight="1">
      <c r="A20" s="4">
        <f>IF(ISTEXT(E20),_xlfn.XLOOKUP(E20,'[1]SME09-01_LHM'!$D:$D,'[1]SME09-01_LHM'!$B:$B))</f>
        <v>27</v>
      </c>
      <c r="B20" s="4">
        <f>_xlfn.XLOOKUP(F20,'[1]SME09-01_LHM'!$I:$I,'[1]SME09-01_LHM'!$B:$B)</f>
        <v>11</v>
      </c>
      <c r="C20" s="102">
        <f>ROW()-25</f>
        <v>-5</v>
      </c>
      <c r="D20" s="145" t="s">
        <v>1138</v>
      </c>
      <c r="E20" s="145" t="s">
        <v>2028</v>
      </c>
      <c r="F20" s="143" t="s">
        <v>2027</v>
      </c>
      <c r="G20" s="143" t="s">
        <v>2026</v>
      </c>
      <c r="H20" s="103" t="s">
        <v>8</v>
      </c>
      <c r="I20" s="103" t="s">
        <v>74</v>
      </c>
      <c r="J20" s="193" t="s">
        <v>574</v>
      </c>
      <c r="K20" s="191" t="s">
        <v>574</v>
      </c>
      <c r="L20" s="191" t="s">
        <v>574</v>
      </c>
      <c r="M20" s="193"/>
      <c r="N20" s="191" t="s">
        <v>27</v>
      </c>
      <c r="O20" s="136"/>
      <c r="P20" s="143" t="s">
        <v>126</v>
      </c>
      <c r="Q20" s="143" t="s">
        <v>2025</v>
      </c>
      <c r="R20" s="143" t="s">
        <v>10</v>
      </c>
      <c r="S20" s="144"/>
      <c r="T20" s="138"/>
      <c r="U20" s="145"/>
      <c r="V20" s="145" t="s">
        <v>24</v>
      </c>
      <c r="W20" s="107"/>
      <c r="X20" s="107"/>
      <c r="Y20" s="192" t="str">
        <f>_xlfn.LET(_xlpm.v,_xlfn.XLOOKUP(E20,'[1]SME09-01_LHM'!$D:$D,'[1]SME09-01_LHM'!$AL:$AL),IF(_xlpm.v=0,"",_xlpm.v))</f>
        <v/>
      </c>
      <c r="Z20" s="104" t="str">
        <f>_xlfn.LET(_xlpm.v,IF(ISTEXT(Y20),_xlfn.XLOOKUP(Y20,'JP-PINT'!A:A,'JP-PINT'!B:B),""),IF(ISERROR(_xlpm.v),"",_xlpm.v))</f>
        <v/>
      </c>
      <c r="AA20" s="191" t="s">
        <v>24</v>
      </c>
    </row>
    <row r="21" spans="1:27" s="137" customFormat="1" ht="12.75" customHeight="1">
      <c r="A21" s="4">
        <f>IF(ISTEXT(E21),_xlfn.XLOOKUP(E21,'[1]SME09-01_LHM'!$D:$D,'[1]SME09-01_LHM'!$B:$B))</f>
        <v>28</v>
      </c>
      <c r="B21" s="4">
        <f>_xlfn.XLOOKUP(F21,'[1]SME09-01_LHM'!$I:$I,'[1]SME09-01_LHM'!$B:$B)</f>
        <v>12</v>
      </c>
      <c r="C21" s="102">
        <f>ROW()-25</f>
        <v>-4</v>
      </c>
      <c r="D21" s="145" t="s">
        <v>1138</v>
      </c>
      <c r="E21" s="145" t="s">
        <v>2024</v>
      </c>
      <c r="F21" s="143" t="s">
        <v>2023</v>
      </c>
      <c r="G21" s="143" t="s">
        <v>2022</v>
      </c>
      <c r="H21" s="103" t="s">
        <v>8</v>
      </c>
      <c r="I21" s="103" t="s">
        <v>74</v>
      </c>
      <c r="J21" s="193" t="s">
        <v>574</v>
      </c>
      <c r="K21" s="191" t="s">
        <v>574</v>
      </c>
      <c r="L21" s="191" t="s">
        <v>574</v>
      </c>
      <c r="M21" s="193"/>
      <c r="N21" s="191" t="s">
        <v>27</v>
      </c>
      <c r="O21" s="136"/>
      <c r="P21" s="143" t="s">
        <v>126</v>
      </c>
      <c r="Q21" s="143" t="s">
        <v>2021</v>
      </c>
      <c r="R21" s="143" t="s">
        <v>10</v>
      </c>
      <c r="S21" s="144"/>
      <c r="T21" s="138"/>
      <c r="U21" s="145"/>
      <c r="V21" s="145" t="s">
        <v>24</v>
      </c>
      <c r="W21" s="107"/>
      <c r="X21" s="107"/>
      <c r="Y21" s="192" t="str">
        <f>_xlfn.LET(_xlpm.v,_xlfn.XLOOKUP(E21,'[1]SME09-01_LHM'!$D:$D,'[1]SME09-01_LHM'!$AL:$AL),IF(_xlpm.v=0,"",_xlpm.v))</f>
        <v/>
      </c>
      <c r="Z21" s="104" t="str">
        <f>_xlfn.LET(_xlpm.v,IF(ISTEXT(Y21),_xlfn.XLOOKUP(Y21,'JP-PINT'!A:A,'JP-PINT'!B:B),""),IF(ISERROR(_xlpm.v),"",_xlpm.v))</f>
        <v/>
      </c>
      <c r="AA21" s="191" t="s">
        <v>24</v>
      </c>
    </row>
    <row r="22" spans="1:27" s="137" customFormat="1" ht="12.75" customHeight="1">
      <c r="A22" s="4">
        <f>IF(ISTEXT(E22),_xlfn.XLOOKUP(E22,'[1]SME09-01_LHM'!$D:$D,'[1]SME09-01_LHM'!$B:$B))</f>
        <v>29</v>
      </c>
      <c r="B22" s="4">
        <f>_xlfn.XLOOKUP(F22,'[1]SME09-01_LHM'!$I:$I,'[1]SME09-01_LHM'!$B:$B)</f>
        <v>29</v>
      </c>
      <c r="C22" s="102">
        <f>ROW()-25</f>
        <v>-3</v>
      </c>
      <c r="D22" s="138" t="s">
        <v>1138</v>
      </c>
      <c r="E22" s="138" t="s">
        <v>2020</v>
      </c>
      <c r="F22" s="100" t="s">
        <v>2019</v>
      </c>
      <c r="G22" s="102" t="s">
        <v>2018</v>
      </c>
      <c r="H22" s="138" t="s">
        <v>31</v>
      </c>
      <c r="I22" s="103" t="s">
        <v>74</v>
      </c>
      <c r="J22" s="193" t="s">
        <v>79</v>
      </c>
      <c r="K22" s="191" t="s">
        <v>79</v>
      </c>
      <c r="L22" s="191" t="s">
        <v>79</v>
      </c>
      <c r="M22" s="193"/>
      <c r="N22" s="191" t="s">
        <v>27</v>
      </c>
      <c r="O22" s="136"/>
      <c r="P22" s="102" t="s">
        <v>126</v>
      </c>
      <c r="Q22" s="102" t="s">
        <v>2017</v>
      </c>
      <c r="R22" s="102" t="s">
        <v>2016</v>
      </c>
      <c r="S22" s="128" t="s">
        <v>24</v>
      </c>
      <c r="T22" s="146" t="s">
        <v>24</v>
      </c>
      <c r="U22" s="146" t="s">
        <v>24</v>
      </c>
      <c r="V22" s="102" t="s">
        <v>24</v>
      </c>
      <c r="W22" s="173" t="s">
        <v>2016</v>
      </c>
      <c r="X22" s="174" t="s">
        <v>2016</v>
      </c>
      <c r="Y22" s="192" t="str">
        <f>_xlfn.LET(_xlpm.v,_xlfn.XLOOKUP(E22,'[1]SME09-01_LHM'!$D:$D,'[1]SME09-01_LHM'!$AL:$AL),IF(_xlpm.v=0,"",_xlpm.v))</f>
        <v/>
      </c>
      <c r="Z22" s="104" t="str">
        <f>_xlfn.LET(_xlpm.v,IF(ISTEXT(Y22),_xlfn.XLOOKUP(Y22,'JP-PINT'!A:A,'JP-PINT'!B:B),""),IF(ISERROR(_xlpm.v),"",_xlpm.v))</f>
        <v/>
      </c>
      <c r="AA22" s="191" t="s">
        <v>24</v>
      </c>
    </row>
    <row r="23" spans="1:27" s="6" customFormat="1" ht="12.75" customHeight="1">
      <c r="A23" s="4">
        <f>IF(ISTEXT(E23),_xlfn.XLOOKUP(E23,'[1]SME09-01_LHM'!$D:$D,'[1]SME09-01_LHM'!$B:$B))</f>
        <v>30</v>
      </c>
      <c r="B23" s="4">
        <f>_xlfn.XLOOKUP(F23,'[1]SME09-01_LHM'!$I:$I,'[1]SME09-01_LHM'!$B:$B)</f>
        <v>30</v>
      </c>
      <c r="C23" s="22">
        <f>ROW()-25</f>
        <v>-2</v>
      </c>
      <c r="D23" s="23" t="s">
        <v>1138</v>
      </c>
      <c r="E23" s="79" t="s">
        <v>2015</v>
      </c>
      <c r="F23" s="22" t="s">
        <v>2014</v>
      </c>
      <c r="G23" s="22" t="s">
        <v>2013</v>
      </c>
      <c r="H23" s="16" t="s">
        <v>31</v>
      </c>
      <c r="I23" s="16" t="s">
        <v>479</v>
      </c>
      <c r="J23" s="186" t="s">
        <v>79</v>
      </c>
      <c r="K23" s="187" t="s">
        <v>79</v>
      </c>
      <c r="L23" s="187" t="s">
        <v>79</v>
      </c>
      <c r="M23" s="186" t="s">
        <v>754</v>
      </c>
      <c r="N23" s="187" t="s">
        <v>443</v>
      </c>
      <c r="O23" s="7" t="s">
        <v>79</v>
      </c>
      <c r="P23" s="102" t="s">
        <v>126</v>
      </c>
      <c r="Q23" s="102" t="s">
        <v>2012</v>
      </c>
      <c r="R23" s="105" t="s">
        <v>10</v>
      </c>
      <c r="S23" s="104" t="s">
        <v>24</v>
      </c>
      <c r="T23" s="106" t="s">
        <v>1139</v>
      </c>
      <c r="U23" s="106" t="s">
        <v>24</v>
      </c>
      <c r="V23" s="105" t="s">
        <v>24</v>
      </c>
      <c r="W23" s="3" t="s">
        <v>10</v>
      </c>
      <c r="X23" s="3" t="s">
        <v>10</v>
      </c>
      <c r="Y23" s="182" t="str">
        <f>_xlfn.LET(_xlpm.v,_xlfn.XLOOKUP(E23,'[1]SME09-01_LHM'!$D:$D,'[1]SME09-01_LHM'!$AL:$AL),IF(_xlpm.v=0,"",_xlpm.v))</f>
        <v>IBT-001</v>
      </c>
      <c r="Z23" s="104" t="str">
        <f>_xlfn.LET(_xlpm.v,IF(ISTEXT(Y23),_xlfn.XLOOKUP(Y23,'JP-PINT'!A:A,'JP-PINT'!B:B),""),IF(ISERROR(_xlpm.v),"",_xlpm.v))</f>
        <v>Invoice number</v>
      </c>
      <c r="AA23" s="23" t="s">
        <v>31</v>
      </c>
    </row>
    <row r="24" spans="1:27" ht="12.75" customHeight="1">
      <c r="A24" s="4">
        <f>IF(ISTEXT(E24),_xlfn.XLOOKUP(E24,'[1]SME09-01_LHM'!$D:$D,'[1]SME09-01_LHM'!$B:$B))</f>
        <v>31</v>
      </c>
      <c r="B24" s="4">
        <f>_xlfn.XLOOKUP(F24,'[1]SME09-01_LHM'!$I:$I,'[1]SME09-01_LHM'!$B:$B)</f>
        <v>31</v>
      </c>
      <c r="C24" s="22">
        <f>ROW()-25</f>
        <v>-1</v>
      </c>
      <c r="D24" s="23" t="s">
        <v>1138</v>
      </c>
      <c r="E24" s="79" t="s">
        <v>2010</v>
      </c>
      <c r="F24" s="22" t="s">
        <v>2009</v>
      </c>
      <c r="G24" s="22" t="s">
        <v>2008</v>
      </c>
      <c r="H24" s="16" t="s">
        <v>8</v>
      </c>
      <c r="I24" s="16" t="s">
        <v>74</v>
      </c>
      <c r="J24" s="186" t="s">
        <v>18</v>
      </c>
      <c r="K24" s="187" t="s">
        <v>18</v>
      </c>
      <c r="L24" s="187" t="s">
        <v>18</v>
      </c>
      <c r="M24" s="187"/>
      <c r="N24" s="194"/>
      <c r="P24" s="102" t="s">
        <v>126</v>
      </c>
      <c r="Q24" s="102" t="s">
        <v>2007</v>
      </c>
      <c r="R24" s="105" t="s">
        <v>10</v>
      </c>
      <c r="S24" s="104"/>
      <c r="T24" s="106"/>
      <c r="U24" s="106" t="s">
        <v>24</v>
      </c>
      <c r="V24" s="105" t="s">
        <v>24</v>
      </c>
      <c r="W24" s="3" t="s">
        <v>10</v>
      </c>
      <c r="X24" s="3" t="s">
        <v>10</v>
      </c>
      <c r="Y24" s="182" t="str">
        <f>_xlfn.LET(_xlpm.v,_xlfn.XLOOKUP(E24,'[1]SME09-01_LHM'!$D:$D,'[1]SME09-01_LHM'!$AL:$AL),IF(_xlpm.v=0,"",_xlpm.v))</f>
        <v/>
      </c>
      <c r="Z24" s="104" t="str">
        <f>_xlfn.LET(_xlpm.v,IF(ISTEXT(Y24),_xlfn.XLOOKUP(Y24,'JP-PINT'!A:A,'JP-PINT'!B:B),""),IF(ISERROR(_xlpm.v),"",_xlpm.v))</f>
        <v/>
      </c>
      <c r="AA24" s="187"/>
    </row>
    <row r="25" spans="1:27" s="6" customFormat="1" ht="12.75" customHeight="1">
      <c r="A25" s="4">
        <f>IF(ISTEXT(E25),_xlfn.XLOOKUP(E25,'[1]SME09-01_LHM'!$D:$D,'[1]SME09-01_LHM'!$B:$B))</f>
        <v>32</v>
      </c>
      <c r="B25" s="4">
        <f>_xlfn.XLOOKUP(F25,'[1]SME09-01_LHM'!$I:$I,'[1]SME09-01_LHM'!$B:$B)</f>
        <v>32</v>
      </c>
      <c r="C25" s="22">
        <f>ROW()-25</f>
        <v>0</v>
      </c>
      <c r="D25" s="16" t="s">
        <v>1138</v>
      </c>
      <c r="E25" s="16" t="s">
        <v>2006</v>
      </c>
      <c r="F25" s="18" t="s">
        <v>2005</v>
      </c>
      <c r="G25" s="18" t="s">
        <v>2004</v>
      </c>
      <c r="H25" s="16" t="s">
        <v>8</v>
      </c>
      <c r="I25" s="16" t="s">
        <v>74</v>
      </c>
      <c r="J25" s="188" t="s">
        <v>66</v>
      </c>
      <c r="K25" s="181" t="s">
        <v>66</v>
      </c>
      <c r="L25" s="181" t="s">
        <v>66</v>
      </c>
      <c r="M25" s="186"/>
      <c r="N25" s="181" t="s">
        <v>443</v>
      </c>
      <c r="O25" s="7"/>
      <c r="P25" s="105" t="s">
        <v>126</v>
      </c>
      <c r="Q25" s="105" t="s">
        <v>2003</v>
      </c>
      <c r="R25" s="105" t="s">
        <v>10</v>
      </c>
      <c r="S25" s="104" t="s">
        <v>302</v>
      </c>
      <c r="T25" s="146" t="s">
        <v>158</v>
      </c>
      <c r="U25" s="146" t="s">
        <v>367</v>
      </c>
      <c r="V25" s="102"/>
      <c r="W25" s="3" t="s">
        <v>10</v>
      </c>
      <c r="X25" s="3" t="s">
        <v>10</v>
      </c>
      <c r="Y25" s="182" t="str">
        <f>_xlfn.LET(_xlpm.v,_xlfn.XLOOKUP(E25,'[1]SME09-01_LHM'!$D:$D,'[1]SME09-01_LHM'!$AL:$AL),IF(_xlpm.v=0,"",_xlpm.v))</f>
        <v>IBT-003</v>
      </c>
      <c r="Z25" s="104" t="str">
        <f>_xlfn.LET(_xlpm.v,IF(ISTEXT(Y25),_xlfn.XLOOKUP(Y25,'JP-PINT'!A:A,'JP-PINT'!B:B),""),IF(ISERROR(_xlpm.v),"",_xlpm.v))</f>
        <v>Invoice type code</v>
      </c>
      <c r="AA25" s="23" t="s">
        <v>31</v>
      </c>
    </row>
    <row r="26" spans="1:27" ht="12.75" customHeight="1">
      <c r="A26" s="4">
        <f>IF(ISTEXT(E26),_xlfn.XLOOKUP(E26,'[1]SME09-01_LHM'!$D:$D,'[1]SME09-01_LHM'!$B:$B))</f>
        <v>33</v>
      </c>
      <c r="B26" s="4">
        <f>_xlfn.XLOOKUP(F26,'[1]SME09-01_LHM'!$I:$I,'[1]SME09-01_LHM'!$B:$B)</f>
        <v>33</v>
      </c>
      <c r="C26" s="22">
        <f>ROW()-25</f>
        <v>1</v>
      </c>
      <c r="D26" s="23" t="s">
        <v>1138</v>
      </c>
      <c r="E26" s="16" t="s">
        <v>2001</v>
      </c>
      <c r="F26" s="22" t="s">
        <v>2000</v>
      </c>
      <c r="G26" s="18" t="s">
        <v>1999</v>
      </c>
      <c r="H26" s="16" t="s">
        <v>31</v>
      </c>
      <c r="I26" s="16" t="s">
        <v>479</v>
      </c>
      <c r="J26" s="188" t="s">
        <v>79</v>
      </c>
      <c r="K26" s="181" t="s">
        <v>79</v>
      </c>
      <c r="L26" s="181" t="s">
        <v>79</v>
      </c>
      <c r="M26" s="195" t="s">
        <v>73</v>
      </c>
      <c r="N26" s="181" t="s">
        <v>443</v>
      </c>
      <c r="O26" s="7" t="s">
        <v>79</v>
      </c>
      <c r="P26" s="102" t="s">
        <v>126</v>
      </c>
      <c r="Q26" s="102" t="s">
        <v>1998</v>
      </c>
      <c r="R26" s="105" t="s">
        <v>10</v>
      </c>
      <c r="S26" s="104"/>
      <c r="T26" s="106"/>
      <c r="U26" s="106"/>
      <c r="V26" s="105"/>
      <c r="W26" s="3" t="s">
        <v>10</v>
      </c>
      <c r="X26" s="3" t="s">
        <v>10</v>
      </c>
      <c r="Y26" s="182" t="str">
        <f>_xlfn.LET(_xlpm.v,_xlfn.XLOOKUP(E26,'[1]SME09-01_LHM'!$D:$D,'[1]SME09-01_LHM'!$AL:$AL),IF(_xlpm.v=0,"",_xlpm.v))</f>
        <v>IBT-002</v>
      </c>
      <c r="Z26" s="104" t="str">
        <f>_xlfn.LET(_xlpm.v,IF(ISTEXT(Y26),_xlfn.XLOOKUP(Y26,'JP-PINT'!A:A,'JP-PINT'!B:B),""),IF(ISERROR(_xlpm.v),"",_xlpm.v))</f>
        <v>Invoice issue date</v>
      </c>
      <c r="AA26" s="23" t="s">
        <v>31</v>
      </c>
    </row>
    <row r="27" spans="1:27" ht="12.75" customHeight="1">
      <c r="A27" s="4">
        <f>IF(ISTEXT(E27),_xlfn.XLOOKUP(E27,'[1]SME09-01_LHM'!$D:$D,'[1]SME09-01_LHM'!$B:$B))</f>
        <v>34</v>
      </c>
      <c r="B27" s="4">
        <f>_xlfn.XLOOKUP(F27,'[1]SME09-01_LHM'!$I:$I,'[1]SME09-01_LHM'!$B:$B)</f>
        <v>34</v>
      </c>
      <c r="C27" s="37">
        <f>ROW()-25</f>
        <v>2</v>
      </c>
      <c r="D27" s="35" t="s">
        <v>1138</v>
      </c>
      <c r="E27" s="35" t="s">
        <v>1996</v>
      </c>
      <c r="F27" s="37" t="s">
        <v>1995</v>
      </c>
      <c r="G27" s="37" t="s">
        <v>1994</v>
      </c>
      <c r="H27" s="35" t="s">
        <v>8</v>
      </c>
      <c r="I27" s="39" t="s">
        <v>127</v>
      </c>
      <c r="J27" s="38" t="s">
        <v>66</v>
      </c>
      <c r="K27" s="35" t="s">
        <v>66</v>
      </c>
      <c r="L27" s="35" t="s">
        <v>66</v>
      </c>
      <c r="M27" s="19"/>
      <c r="N27" s="35"/>
      <c r="P27" s="148" t="s">
        <v>126</v>
      </c>
      <c r="Q27" s="148" t="s">
        <v>1993</v>
      </c>
      <c r="R27" s="148" t="s">
        <v>10</v>
      </c>
      <c r="S27" s="148" t="s">
        <v>1286</v>
      </c>
      <c r="T27" s="149" t="s">
        <v>13</v>
      </c>
      <c r="U27" s="149" t="s">
        <v>367</v>
      </c>
      <c r="V27" s="148" t="s">
        <v>1992</v>
      </c>
      <c r="W27" s="3" t="s">
        <v>10</v>
      </c>
      <c r="X27" s="3" t="s">
        <v>10</v>
      </c>
      <c r="Y27" s="182" t="str">
        <f>_xlfn.LET(_xlpm.v,_xlfn.XLOOKUP(E27,'[1]SME09-01_LHM'!$D:$D,'[1]SME09-01_LHM'!$AL:$AL),IF(_xlpm.v=0,"",_xlpm.v))</f>
        <v/>
      </c>
      <c r="Z27" s="104" t="str">
        <f>_xlfn.LET(_xlpm.v,IF(ISTEXT(Y27),_xlfn.XLOOKUP(Y27,'JP-PINT'!A:A,'JP-PINT'!B:B),""),IF(ISERROR(_xlpm.v),"",_xlpm.v))</f>
        <v/>
      </c>
      <c r="AA27" s="37"/>
    </row>
    <row r="28" spans="1:27" s="45" customFormat="1" ht="12.75" customHeight="1">
      <c r="A28" s="4">
        <f>IF(ISTEXT(E28),_xlfn.XLOOKUP(E28,'[1]SME09-01_LHM'!$D:$D,'[1]SME09-01_LHM'!$B:$B))</f>
        <v>35</v>
      </c>
      <c r="B28" s="4">
        <f>_xlfn.XLOOKUP(F28,'[1]SME09-01_LHM'!$I:$I,'[1]SME09-01_LHM'!$B:$B)</f>
        <v>35</v>
      </c>
      <c r="C28" s="22">
        <f>ROW()-25</f>
        <v>3</v>
      </c>
      <c r="D28" s="23" t="s">
        <v>1138</v>
      </c>
      <c r="E28" s="16" t="s">
        <v>1991</v>
      </c>
      <c r="F28" s="22" t="s">
        <v>1990</v>
      </c>
      <c r="G28" s="18" t="s">
        <v>1989</v>
      </c>
      <c r="H28" s="16" t="s">
        <v>8</v>
      </c>
      <c r="I28" s="16" t="s">
        <v>340</v>
      </c>
      <c r="J28" s="196" t="s">
        <v>271</v>
      </c>
      <c r="K28" s="196" t="s">
        <v>271</v>
      </c>
      <c r="L28" s="196" t="s">
        <v>271</v>
      </c>
      <c r="M28" s="187"/>
      <c r="N28" s="187" t="s">
        <v>27</v>
      </c>
      <c r="O28" s="7"/>
      <c r="P28" s="102" t="s">
        <v>126</v>
      </c>
      <c r="Q28" s="102" t="s">
        <v>1988</v>
      </c>
      <c r="R28" s="105" t="s">
        <v>10</v>
      </c>
      <c r="S28" s="104" t="s">
        <v>1987</v>
      </c>
      <c r="T28" s="103" t="s">
        <v>158</v>
      </c>
      <c r="U28" s="103" t="s">
        <v>367</v>
      </c>
      <c r="V28" s="105" t="s">
        <v>1986</v>
      </c>
      <c r="W28" s="3" t="s">
        <v>10</v>
      </c>
      <c r="X28" s="3" t="s">
        <v>10</v>
      </c>
      <c r="Y28" s="182" t="str">
        <f>_xlfn.LET(_xlpm.v,_xlfn.XLOOKUP(E28,'[1]SME09-01_LHM'!$D:$D,'[1]SME09-01_LHM'!$AL:$AL),IF(_xlpm.v=0,"",_xlpm.v))</f>
        <v/>
      </c>
      <c r="Z28" s="104" t="str">
        <f>_xlfn.LET(_xlpm.v,IF(ISTEXT(Y28),_xlfn.XLOOKUP(Y28,'JP-PINT'!A:A,'JP-PINT'!B:B),""),IF(ISERROR(_xlpm.v),"",_xlpm.v))</f>
        <v/>
      </c>
      <c r="AA28" s="187" t="s">
        <v>24</v>
      </c>
    </row>
    <row r="29" spans="1:27" ht="12.75" customHeight="1">
      <c r="A29" s="4">
        <f>IF(ISTEXT(E29),_xlfn.XLOOKUP(E29,'[1]SME09-01_LHM'!$D:$D,'[1]SME09-01_LHM'!$B:$B))</f>
        <v>36</v>
      </c>
      <c r="B29" s="4">
        <f>_xlfn.XLOOKUP(F29,'[1]SME09-01_LHM'!$I:$I,'[1]SME09-01_LHM'!$B:$B)</f>
        <v>36</v>
      </c>
      <c r="C29" s="22">
        <f>ROW()-25</f>
        <v>4</v>
      </c>
      <c r="D29" s="23" t="s">
        <v>1138</v>
      </c>
      <c r="E29" s="16" t="s">
        <v>1985</v>
      </c>
      <c r="F29" s="22" t="s">
        <v>1984</v>
      </c>
      <c r="G29" s="18" t="s">
        <v>1983</v>
      </c>
      <c r="H29" s="16" t="s">
        <v>8</v>
      </c>
      <c r="I29" s="16" t="s">
        <v>422</v>
      </c>
      <c r="J29" s="197" t="s">
        <v>271</v>
      </c>
      <c r="K29" s="196" t="s">
        <v>271</v>
      </c>
      <c r="L29" s="196" t="s">
        <v>271</v>
      </c>
      <c r="M29" s="186"/>
      <c r="N29" s="187" t="s">
        <v>27</v>
      </c>
      <c r="P29" s="102" t="s">
        <v>126</v>
      </c>
      <c r="Q29" s="102" t="s">
        <v>1982</v>
      </c>
      <c r="R29" s="105" t="s">
        <v>10</v>
      </c>
      <c r="S29" s="104"/>
      <c r="T29" s="146" t="s">
        <v>103</v>
      </c>
      <c r="U29" s="146" t="s">
        <v>24</v>
      </c>
      <c r="V29" s="102" t="s">
        <v>24</v>
      </c>
      <c r="W29" s="3" t="s">
        <v>10</v>
      </c>
      <c r="X29" s="3" t="s">
        <v>10</v>
      </c>
      <c r="Y29" s="182" t="str">
        <f>_xlfn.LET(_xlpm.v,_xlfn.XLOOKUP(E29,'[1]SME09-01_LHM'!$D:$D,'[1]SME09-01_LHM'!$AL:$AL),IF(_xlpm.v=0,"",_xlpm.v))</f>
        <v/>
      </c>
      <c r="Z29" s="104" t="str">
        <f>_xlfn.LET(_xlpm.v,IF(ISTEXT(Y29),_xlfn.XLOOKUP(Y29,'JP-PINT'!A:A,'JP-PINT'!B:B),""),IF(ISERROR(_xlpm.v),"",_xlpm.v))</f>
        <v/>
      </c>
      <c r="AA29" s="187" t="s">
        <v>24</v>
      </c>
    </row>
    <row r="30" spans="1:27" ht="12.75" customHeight="1">
      <c r="A30" s="4">
        <f>IF(ISTEXT(E30),_xlfn.XLOOKUP(E30,'[1]SME09-01_LHM'!$D:$D,'[1]SME09-01_LHM'!$B:$B))</f>
        <v>37</v>
      </c>
      <c r="B30" s="4">
        <f>_xlfn.XLOOKUP(F30,'[1]SME09-01_LHM'!$I:$I,'[1]SME09-01_LHM'!$B:$B)</f>
        <v>37</v>
      </c>
      <c r="C30" s="22">
        <f>ROW()-25</f>
        <v>5</v>
      </c>
      <c r="D30" s="23" t="s">
        <v>1138</v>
      </c>
      <c r="E30" s="16" t="s">
        <v>1981</v>
      </c>
      <c r="F30" s="22" t="s">
        <v>1980</v>
      </c>
      <c r="G30" s="18" t="s">
        <v>1979</v>
      </c>
      <c r="H30" s="16" t="s">
        <v>8</v>
      </c>
      <c r="I30" s="16" t="s">
        <v>143</v>
      </c>
      <c r="J30" s="188" t="s">
        <v>66</v>
      </c>
      <c r="K30" s="181" t="s">
        <v>66</v>
      </c>
      <c r="L30" s="181" t="s">
        <v>66</v>
      </c>
      <c r="M30" s="186"/>
      <c r="N30" s="187" t="s">
        <v>27</v>
      </c>
      <c r="P30" s="102" t="s">
        <v>126</v>
      </c>
      <c r="Q30" s="102" t="s">
        <v>1978</v>
      </c>
      <c r="R30" s="105" t="s">
        <v>10</v>
      </c>
      <c r="S30" s="104" t="s">
        <v>64</v>
      </c>
      <c r="T30" s="146" t="s">
        <v>63</v>
      </c>
      <c r="U30" s="146" t="s">
        <v>367</v>
      </c>
      <c r="V30" s="102"/>
      <c r="W30" s="3" t="s">
        <v>10</v>
      </c>
      <c r="X30" s="3" t="s">
        <v>10</v>
      </c>
      <c r="Y30" s="182" t="str">
        <f>_xlfn.LET(_xlpm.v,_xlfn.XLOOKUP(E30,'[1]SME09-01_LHM'!$D:$D,'[1]SME09-01_LHM'!$AL:$AL),IF(_xlpm.v=0,"",_xlpm.v))</f>
        <v/>
      </c>
      <c r="Z30" s="104" t="str">
        <f>_xlfn.LET(_xlpm.v,IF(ISTEXT(Y30),_xlfn.XLOOKUP(Y30,'JP-PINT'!A:A,'JP-PINT'!B:B),""),IF(ISERROR(_xlpm.v),"",_xlpm.v))</f>
        <v/>
      </c>
      <c r="AA30" s="187" t="s">
        <v>24</v>
      </c>
    </row>
    <row r="31" spans="1:27" s="6" customFormat="1" ht="12.75" customHeight="1">
      <c r="A31" s="4">
        <f>IF(ISTEXT(E31),_xlfn.XLOOKUP(E31,'[1]SME09-01_LHM'!$D:$D,'[1]SME09-01_LHM'!$B:$B))</f>
        <v>38</v>
      </c>
      <c r="B31" s="4">
        <f>_xlfn.XLOOKUP(F31,'[1]SME09-01_LHM'!$I:$I,'[1]SME09-01_LHM'!$B:$B)</f>
        <v>38</v>
      </c>
      <c r="C31" s="22">
        <f>ROW()-25</f>
        <v>6</v>
      </c>
      <c r="D31" s="16" t="s">
        <v>1138</v>
      </c>
      <c r="E31" s="16" t="s">
        <v>1977</v>
      </c>
      <c r="F31" s="18" t="s">
        <v>1976</v>
      </c>
      <c r="G31" s="18" t="s">
        <v>1975</v>
      </c>
      <c r="H31" s="16" t="s">
        <v>8</v>
      </c>
      <c r="I31" s="16" t="s">
        <v>143</v>
      </c>
      <c r="J31" s="188" t="s">
        <v>66</v>
      </c>
      <c r="K31" s="188" t="s">
        <v>66</v>
      </c>
      <c r="L31" s="188" t="s">
        <v>66</v>
      </c>
      <c r="M31" s="186"/>
      <c r="N31" s="187" t="s">
        <v>27</v>
      </c>
      <c r="O31" s="7"/>
      <c r="P31" s="105" t="s">
        <v>126</v>
      </c>
      <c r="Q31" s="105" t="s">
        <v>1974</v>
      </c>
      <c r="R31" s="105" t="s">
        <v>10</v>
      </c>
      <c r="S31" s="104" t="s">
        <v>64</v>
      </c>
      <c r="T31" s="146" t="s">
        <v>63</v>
      </c>
      <c r="U31" s="146" t="s">
        <v>367</v>
      </c>
      <c r="V31" s="102" t="s">
        <v>1973</v>
      </c>
      <c r="W31" s="3" t="s">
        <v>10</v>
      </c>
      <c r="X31" s="3" t="s">
        <v>10</v>
      </c>
      <c r="Y31" s="182" t="str">
        <f>_xlfn.LET(_xlpm.v,_xlfn.XLOOKUP(E31,'[1]SME09-01_LHM'!$D:$D,'[1]SME09-01_LHM'!$AL:$AL),IF(_xlpm.v=0,"",_xlpm.v))</f>
        <v/>
      </c>
      <c r="Z31" s="104" t="str">
        <f>_xlfn.LET(_xlpm.v,IF(ISTEXT(Y31),_xlfn.XLOOKUP(Y31,'JP-PINT'!A:A,'JP-PINT'!B:B),""),IF(ISERROR(_xlpm.v),"",_xlpm.v))</f>
        <v/>
      </c>
      <c r="AA31" s="187" t="s">
        <v>24</v>
      </c>
    </row>
    <row r="32" spans="1:27" ht="12.75" customHeight="1">
      <c r="A32" s="4">
        <f>IF(ISTEXT(E32),_xlfn.XLOOKUP(E32,'[1]SME09-01_LHM'!$D:$D,'[1]SME09-01_LHM'!$B:$B))</f>
        <v>0</v>
      </c>
      <c r="B32" s="4">
        <f>_xlfn.XLOOKUP(F32,'[1]SME09-01_LHM'!$I:$I,'[1]SME09-01_LHM'!$B:$B)</f>
        <v>0</v>
      </c>
      <c r="C32" s="22">
        <f>ROW()-25</f>
        <v>7</v>
      </c>
      <c r="D32" s="16" t="s">
        <v>1972</v>
      </c>
      <c r="E32" s="16" t="s">
        <v>1971</v>
      </c>
      <c r="F32" s="18" t="s">
        <v>1970</v>
      </c>
      <c r="G32" s="18" t="s">
        <v>1969</v>
      </c>
      <c r="H32" s="16" t="s">
        <v>28</v>
      </c>
      <c r="I32" s="16" t="s">
        <v>143</v>
      </c>
      <c r="J32" s="21" t="s">
        <v>505</v>
      </c>
      <c r="K32" s="16" t="s">
        <v>505</v>
      </c>
      <c r="L32" s="16" t="s">
        <v>505</v>
      </c>
      <c r="M32" s="19"/>
      <c r="N32" s="16"/>
      <c r="P32" s="105" t="s">
        <v>126</v>
      </c>
      <c r="Q32" s="105" t="s">
        <v>1968</v>
      </c>
      <c r="R32" s="105" t="s">
        <v>10</v>
      </c>
      <c r="S32" s="198" t="s">
        <v>596</v>
      </c>
      <c r="T32" s="70" t="s">
        <v>158</v>
      </c>
      <c r="U32" s="146" t="s">
        <v>367</v>
      </c>
      <c r="V32" s="66" t="s">
        <v>1967</v>
      </c>
      <c r="W32" s="7" t="s">
        <v>10</v>
      </c>
      <c r="X32" s="7" t="s">
        <v>10</v>
      </c>
      <c r="Y32" s="182" t="str">
        <f>_xlfn.LET(_xlpm.v,_xlfn.XLOOKUP(E32,'[1]SME09-01_LHM'!$D:$D,'[1]SME09-01_LHM'!$AL:$AL),IF(_xlpm.v=0,"",_xlpm.v))</f>
        <v/>
      </c>
      <c r="Z32" s="104" t="str">
        <f>_xlfn.LET(_xlpm.v,IF(ISTEXT(Y32),_xlfn.XLOOKUP(Y32,'JP-PINT'!A:A,'JP-PINT'!B:B),""),IF(ISERROR(_xlpm.v),"",_xlpm.v))</f>
        <v/>
      </c>
      <c r="AA32" s="18"/>
    </row>
    <row r="33" spans="1:27" s="6" customFormat="1" ht="12.75" customHeight="1">
      <c r="A33" s="4">
        <f>IF(ISTEXT(E33),_xlfn.XLOOKUP(E33,'[1]SME09-01_LHM'!$D:$D,'[1]SME09-01_LHM'!$B:$B))</f>
        <v>39</v>
      </c>
      <c r="B33" s="4">
        <f>_xlfn.XLOOKUP(F33,'[1]SME09-01_LHM'!$I:$I,'[1]SME09-01_LHM'!$B:$B)</f>
        <v>39</v>
      </c>
      <c r="C33" s="22">
        <f>ROW()-25</f>
        <v>8</v>
      </c>
      <c r="D33" s="29" t="s">
        <v>1138</v>
      </c>
      <c r="E33" s="26" t="s">
        <v>1966</v>
      </c>
      <c r="F33" s="93" t="s">
        <v>2120</v>
      </c>
      <c r="G33" s="28" t="s">
        <v>1965</v>
      </c>
      <c r="H33" s="26" t="s">
        <v>43</v>
      </c>
      <c r="I33" s="26" t="s">
        <v>74</v>
      </c>
      <c r="J33" s="199" t="s">
        <v>18</v>
      </c>
      <c r="K33" s="199" t="s">
        <v>18</v>
      </c>
      <c r="L33" s="199" t="s">
        <v>18</v>
      </c>
      <c r="M33" s="190"/>
      <c r="N33" s="187" t="s">
        <v>27</v>
      </c>
      <c r="O33" s="7"/>
      <c r="P33" s="102" t="s">
        <v>126</v>
      </c>
      <c r="Q33" s="102" t="s">
        <v>1964</v>
      </c>
      <c r="R33" s="105" t="s">
        <v>25</v>
      </c>
      <c r="S33" s="104" t="s">
        <v>24</v>
      </c>
      <c r="T33" s="138" t="s">
        <v>24</v>
      </c>
      <c r="U33" s="146" t="s">
        <v>24</v>
      </c>
      <c r="V33" s="102" t="s">
        <v>24</v>
      </c>
      <c r="W33" s="56" t="s">
        <v>25</v>
      </c>
      <c r="X33" s="3" t="s">
        <v>25</v>
      </c>
      <c r="Y33" s="182" t="str">
        <f>_xlfn.LET(_xlpm.v,_xlfn.XLOOKUP(E33,'[1]SME09-01_LHM'!$D:$D,'[1]SME09-01_LHM'!$AL:$AL),IF(_xlpm.v=0,"",_xlpm.v))</f>
        <v/>
      </c>
      <c r="Z33" s="104" t="str">
        <f>_xlfn.LET(_xlpm.v,IF(ISTEXT(Y33),_xlfn.XLOOKUP(Y33,'JP-PINT'!A:A,'JP-PINT'!B:B),""),IF(ISERROR(_xlpm.v),"",_xlpm.v))</f>
        <v/>
      </c>
      <c r="AA33" s="187" t="s">
        <v>24</v>
      </c>
    </row>
    <row r="34" spans="1:27" s="6" customFormat="1" ht="12.75" customHeight="1">
      <c r="A34" s="4">
        <f>IF(ISTEXT(E34),_xlfn.XLOOKUP(E34,'[1]SME09-01_LHM'!$D:$D,'[1]SME09-01_LHM'!$B:$B))</f>
        <v>41</v>
      </c>
      <c r="B34" s="4">
        <f>_xlfn.XLOOKUP(F34,'[1]SME09-01_LHM'!$I:$I,'[1]SME09-01_LHM'!$B:$B)</f>
        <v>41</v>
      </c>
      <c r="C34" s="22">
        <f>ROW()-25</f>
        <v>9</v>
      </c>
      <c r="D34" s="23" t="s">
        <v>1138</v>
      </c>
      <c r="E34" s="16" t="s">
        <v>1963</v>
      </c>
      <c r="F34" s="22" t="s">
        <v>1962</v>
      </c>
      <c r="G34" s="22" t="s">
        <v>1961</v>
      </c>
      <c r="H34" s="16" t="s">
        <v>8</v>
      </c>
      <c r="I34" s="16" t="s">
        <v>74</v>
      </c>
      <c r="J34" s="186" t="s">
        <v>18</v>
      </c>
      <c r="K34" s="187" t="s">
        <v>18</v>
      </c>
      <c r="L34" s="187" t="s">
        <v>18</v>
      </c>
      <c r="M34" s="186"/>
      <c r="N34" s="187" t="s">
        <v>27</v>
      </c>
      <c r="O34" s="7"/>
      <c r="P34" s="102" t="s">
        <v>126</v>
      </c>
      <c r="Q34" s="102" t="s">
        <v>583</v>
      </c>
      <c r="R34" s="105" t="s">
        <v>10</v>
      </c>
      <c r="S34" s="104"/>
      <c r="T34" s="106"/>
      <c r="U34" s="106" t="s">
        <v>24</v>
      </c>
      <c r="V34" s="148" t="s">
        <v>24</v>
      </c>
      <c r="W34" s="3" t="s">
        <v>10</v>
      </c>
      <c r="X34" s="3" t="s">
        <v>10</v>
      </c>
      <c r="Y34" s="182" t="str">
        <f>_xlfn.LET(_xlpm.v,_xlfn.XLOOKUP(E34,'[1]SME09-01_LHM'!$D:$D,'[1]SME09-01_LHM'!$AL:$AL),IF(_xlpm.v=0,"",_xlpm.v))</f>
        <v/>
      </c>
      <c r="Z34" s="104" t="str">
        <f>_xlfn.LET(_xlpm.v,IF(ISTEXT(Y34),_xlfn.XLOOKUP(Y34,'JP-PINT'!A:A,'JP-PINT'!B:B),""),IF(ISERROR(_xlpm.v),"",_xlpm.v))</f>
        <v/>
      </c>
      <c r="AA34" s="187" t="s">
        <v>24</v>
      </c>
    </row>
    <row r="35" spans="1:27" s="6" customFormat="1" ht="12.75" customHeight="1">
      <c r="A35" s="4">
        <f>IF(ISTEXT(E35),_xlfn.XLOOKUP(E35,'[1]SME09-01_LHM'!$D:$D,'[1]SME09-01_LHM'!$B:$B))</f>
        <v>42</v>
      </c>
      <c r="B35" s="4">
        <f>_xlfn.XLOOKUP(F35,'[1]SME09-01_LHM'!$I:$I,'[1]SME09-01_LHM'!$B:$B)</f>
        <v>42</v>
      </c>
      <c r="C35" s="22">
        <f>ROW()-25</f>
        <v>10</v>
      </c>
      <c r="D35" s="16" t="s">
        <v>1138</v>
      </c>
      <c r="E35" s="16" t="s">
        <v>1960</v>
      </c>
      <c r="F35" s="18" t="s">
        <v>1959</v>
      </c>
      <c r="G35" s="18" t="s">
        <v>1958</v>
      </c>
      <c r="H35" s="16" t="s">
        <v>8</v>
      </c>
      <c r="I35" s="16" t="s">
        <v>74</v>
      </c>
      <c r="J35" s="188" t="s">
        <v>18</v>
      </c>
      <c r="K35" s="181" t="s">
        <v>18</v>
      </c>
      <c r="L35" s="181" t="s">
        <v>18</v>
      </c>
      <c r="M35" s="186" t="s">
        <v>618</v>
      </c>
      <c r="N35" s="187" t="s">
        <v>17</v>
      </c>
      <c r="O35" s="7"/>
      <c r="P35" s="105" t="s">
        <v>126</v>
      </c>
      <c r="Q35" s="105" t="s">
        <v>579</v>
      </c>
      <c r="R35" s="105" t="s">
        <v>10</v>
      </c>
      <c r="S35" s="104"/>
      <c r="T35" s="106"/>
      <c r="U35" s="106" t="s">
        <v>24</v>
      </c>
      <c r="V35" s="105" t="s">
        <v>24</v>
      </c>
      <c r="W35" s="3" t="s">
        <v>10</v>
      </c>
      <c r="X35" s="3" t="s">
        <v>10</v>
      </c>
      <c r="Y35" s="182" t="str">
        <f>_xlfn.LET(_xlpm.v,_xlfn.XLOOKUP(E35,'[1]SME09-01_LHM'!$D:$D,'[1]SME09-01_LHM'!$AL:$AL),IF(_xlpm.v=0,"",_xlpm.v))</f>
        <v>IBT-022</v>
      </c>
      <c r="Z35" s="104" t="str">
        <f>_xlfn.LET(_xlpm.v,IF(ISTEXT(Y35),_xlfn.XLOOKUP(Y35,'JP-PINT'!A:A,'JP-PINT'!B:B),""),IF(ISERROR(_xlpm.v),"",_xlpm.v))</f>
        <v>Invoice note</v>
      </c>
      <c r="AA35" s="187" t="s">
        <v>8</v>
      </c>
    </row>
    <row r="36" spans="1:27" s="6" customFormat="1" ht="12.75" customHeight="1">
      <c r="A36" s="4">
        <f>IF(ISTEXT(E36),_xlfn.XLOOKUP(E36,'[1]SME09-01_LHM'!$D:$D,'[1]SME09-01_LHM'!$B:$B))</f>
        <v>43</v>
      </c>
      <c r="B36" s="4">
        <f>_xlfn.XLOOKUP(F36,'[1]SME09-01_LHM'!$I:$I,'[1]SME09-01_LHM'!$B:$B)</f>
        <v>43</v>
      </c>
      <c r="C36" s="22">
        <f>ROW()-25</f>
        <v>11</v>
      </c>
      <c r="D36" s="16" t="s">
        <v>1138</v>
      </c>
      <c r="E36" s="16" t="s">
        <v>1956</v>
      </c>
      <c r="F36" s="18" t="s">
        <v>1955</v>
      </c>
      <c r="G36" s="18" t="s">
        <v>1954</v>
      </c>
      <c r="H36" s="16" t="s">
        <v>8</v>
      </c>
      <c r="I36" s="16" t="s">
        <v>74</v>
      </c>
      <c r="J36" s="188" t="s">
        <v>574</v>
      </c>
      <c r="K36" s="181" t="s">
        <v>574</v>
      </c>
      <c r="L36" s="181" t="s">
        <v>574</v>
      </c>
      <c r="M36" s="186"/>
      <c r="N36" s="187" t="s">
        <v>27</v>
      </c>
      <c r="O36" s="7"/>
      <c r="P36" s="105" t="s">
        <v>126</v>
      </c>
      <c r="Q36" s="105" t="s">
        <v>573</v>
      </c>
      <c r="R36" s="105" t="s">
        <v>10</v>
      </c>
      <c r="S36" s="104"/>
      <c r="T36" s="106"/>
      <c r="U36" s="106" t="s">
        <v>24</v>
      </c>
      <c r="V36" s="105" t="s">
        <v>24</v>
      </c>
      <c r="W36" s="3" t="s">
        <v>10</v>
      </c>
      <c r="X36" s="3" t="s">
        <v>10</v>
      </c>
      <c r="Y36" s="182" t="str">
        <f>_xlfn.LET(_xlpm.v,_xlfn.XLOOKUP(E36,'[1]SME09-01_LHM'!$D:$D,'[1]SME09-01_LHM'!$AL:$AL),IF(_xlpm.v=0,"",_xlpm.v))</f>
        <v/>
      </c>
      <c r="Z36" s="104" t="str">
        <f>_xlfn.LET(_xlpm.v,IF(ISTEXT(Y36),_xlfn.XLOOKUP(Y36,'JP-PINT'!A:A,'JP-PINT'!B:B),""),IF(ISERROR(_xlpm.v),"",_xlpm.v))</f>
        <v/>
      </c>
      <c r="AA36" s="187" t="s">
        <v>24</v>
      </c>
    </row>
    <row r="37" spans="1:27" ht="12.75" customHeight="1">
      <c r="A37" s="4">
        <f>IF(ISTEXT(E37),_xlfn.XLOOKUP(E37,'[1]SME09-01_LHM'!$D:$D,'[1]SME09-01_LHM'!$B:$B))</f>
        <v>43.1</v>
      </c>
      <c r="B37" s="4">
        <f>_xlfn.XLOOKUP(F37,'[1]SME09-01_LHM'!$I:$I,'[1]SME09-01_LHM'!$B:$B)</f>
        <v>43.1</v>
      </c>
      <c r="C37" s="22">
        <f>ROW()-25</f>
        <v>12</v>
      </c>
      <c r="D37" s="26" t="s">
        <v>1138</v>
      </c>
      <c r="E37" s="26" t="s">
        <v>1953</v>
      </c>
      <c r="F37" s="93" t="s">
        <v>2121</v>
      </c>
      <c r="G37" s="25" t="s">
        <v>1952</v>
      </c>
      <c r="H37" s="26" t="s">
        <v>43</v>
      </c>
      <c r="I37" s="200" t="s">
        <v>143</v>
      </c>
      <c r="J37" s="201" t="s">
        <v>66</v>
      </c>
      <c r="K37" s="199" t="s">
        <v>66</v>
      </c>
      <c r="L37" s="199" t="s">
        <v>66</v>
      </c>
      <c r="M37" s="189"/>
      <c r="N37" s="181" t="s">
        <v>72</v>
      </c>
      <c r="P37" s="105" t="s">
        <v>126</v>
      </c>
      <c r="Q37" s="105" t="s">
        <v>1951</v>
      </c>
      <c r="R37" s="105" t="s">
        <v>25</v>
      </c>
      <c r="S37" s="104"/>
      <c r="T37" s="106"/>
      <c r="U37" s="106" t="s">
        <v>24</v>
      </c>
      <c r="V37" s="105" t="s">
        <v>24</v>
      </c>
      <c r="W37" s="3" t="s">
        <v>25</v>
      </c>
      <c r="X37" s="3" t="s">
        <v>25</v>
      </c>
      <c r="Y37" s="182" t="str">
        <f>_xlfn.LET(_xlpm.v,_xlfn.XLOOKUP(E37,'[1]SME09-01_LHM'!$D:$D,'[1]SME09-01_LHM'!$AL:$AL),IF(_xlpm.v=0,"",_xlpm.v))</f>
        <v>IBG-03</v>
      </c>
      <c r="Z37" s="104" t="str">
        <f>_xlfn.LET(_xlpm.v,IF(ISTEXT(Y37),_xlfn.XLOOKUP(Y37,'JP-PINT'!A:A,'JP-PINT'!B:B),""),IF(ISERROR(_xlpm.v),"",_xlpm.v))</f>
        <v>PRECEDING INVOICE REFERENCE</v>
      </c>
      <c r="AA37" s="23" t="s">
        <v>43</v>
      </c>
    </row>
    <row r="38" spans="1:27" ht="12.75" customHeight="1">
      <c r="A38" s="4">
        <f>IF(ISTEXT(E38),_xlfn.XLOOKUP(E38,'[1]SME09-01_LHM'!$D:$D,'[1]SME09-01_LHM'!$B:$B))</f>
        <v>43.3</v>
      </c>
      <c r="B38" s="4">
        <f>_xlfn.XLOOKUP(F38,'[1]SME09-01_LHM'!$I:$I,'[1]SME09-01_LHM'!$B:$B)</f>
        <v>43.3</v>
      </c>
      <c r="C38" s="22">
        <f>ROW()-25</f>
        <v>13</v>
      </c>
      <c r="D38" s="16" t="s">
        <v>1138</v>
      </c>
      <c r="E38" s="16" t="s">
        <v>1949</v>
      </c>
      <c r="F38" s="18" t="s">
        <v>1948</v>
      </c>
      <c r="G38" s="18" t="s">
        <v>1947</v>
      </c>
      <c r="H38" s="16" t="s">
        <v>31</v>
      </c>
      <c r="I38" s="70" t="s">
        <v>143</v>
      </c>
      <c r="J38" s="188" t="s">
        <v>79</v>
      </c>
      <c r="K38" s="181" t="s">
        <v>79</v>
      </c>
      <c r="L38" s="181" t="s">
        <v>79</v>
      </c>
      <c r="M38" s="186"/>
      <c r="N38" s="181" t="s">
        <v>183</v>
      </c>
      <c r="O38" s="202"/>
      <c r="P38" s="105" t="s">
        <v>126</v>
      </c>
      <c r="Q38" s="105" t="s">
        <v>327</v>
      </c>
      <c r="R38" s="105" t="s">
        <v>10</v>
      </c>
      <c r="S38" s="104"/>
      <c r="T38" s="106"/>
      <c r="U38" s="106" t="s">
        <v>24</v>
      </c>
      <c r="V38" s="105" t="s">
        <v>24</v>
      </c>
      <c r="W38" s="203" t="s">
        <v>10</v>
      </c>
      <c r="X38" s="203" t="s">
        <v>10</v>
      </c>
      <c r="Y38" s="182" t="str">
        <f>_xlfn.LET(_xlpm.v,_xlfn.XLOOKUP(E38,'[1]SME09-01_LHM'!$D:$D,'[1]SME09-01_LHM'!$AL:$AL),IF(_xlpm.v=0,"",_xlpm.v))</f>
        <v>IBT-025</v>
      </c>
      <c r="Z38" s="104" t="str">
        <f>_xlfn.LET(_xlpm.v,IF(ISTEXT(Y38),_xlfn.XLOOKUP(Y38,'JP-PINT'!A:A,'JP-PINT'!B:B),""),IF(ISERROR(_xlpm.v),"",_xlpm.v))</f>
        <v>&gt; Preceding Invoice reference</v>
      </c>
      <c r="AA38" s="204" t="s">
        <v>31</v>
      </c>
    </row>
    <row r="39" spans="1:27" s="205" customFormat="1" ht="12.75" customHeight="1">
      <c r="A39" s="4">
        <f>IF(ISTEXT(E39),_xlfn.XLOOKUP(E39,'[1]SME09-01_LHM'!$D:$D,'[1]SME09-01_LHM'!$B:$B))</f>
        <v>47</v>
      </c>
      <c r="B39" s="4">
        <f>_xlfn.XLOOKUP(F39,'[1]SME09-01_LHM'!$I:$I,'[1]SME09-01_LHM'!$B:$B)</f>
        <v>47</v>
      </c>
      <c r="C39" s="22">
        <f>ROW()-25</f>
        <v>14</v>
      </c>
      <c r="D39" s="16" t="s">
        <v>1138</v>
      </c>
      <c r="E39" s="16" t="s">
        <v>1945</v>
      </c>
      <c r="F39" s="18" t="s">
        <v>1944</v>
      </c>
      <c r="G39" s="18" t="s">
        <v>1943</v>
      </c>
      <c r="H39" s="16" t="s">
        <v>8</v>
      </c>
      <c r="I39" s="70" t="s">
        <v>52</v>
      </c>
      <c r="J39" s="188" t="s">
        <v>18</v>
      </c>
      <c r="K39" s="181" t="s">
        <v>18</v>
      </c>
      <c r="L39" s="181" t="s">
        <v>18</v>
      </c>
      <c r="M39" s="186"/>
      <c r="N39" s="187" t="s">
        <v>27</v>
      </c>
      <c r="O39" s="202"/>
      <c r="P39" s="105" t="s">
        <v>126</v>
      </c>
      <c r="Q39" s="105" t="s">
        <v>523</v>
      </c>
      <c r="R39" s="105" t="s">
        <v>10</v>
      </c>
      <c r="S39" s="104"/>
      <c r="T39" s="105"/>
      <c r="U39" s="105" t="s">
        <v>24</v>
      </c>
      <c r="V39" s="105" t="s">
        <v>24</v>
      </c>
      <c r="W39" s="203" t="s">
        <v>10</v>
      </c>
      <c r="X39" s="203" t="s">
        <v>10</v>
      </c>
      <c r="Y39" s="182" t="str">
        <f>_xlfn.LET(_xlpm.v,_xlfn.XLOOKUP(E39,'[1]SME09-01_LHM'!$D:$D,'[1]SME09-01_LHM'!$AL:$AL),IF(_xlpm.v=0,"",_xlpm.v))</f>
        <v>IBT-124</v>
      </c>
      <c r="Z39" s="104" t="str">
        <f>_xlfn.LET(_xlpm.v,IF(ISTEXT(Y39),_xlfn.XLOOKUP(Y39,'JP-PINT'!A:A,'JP-PINT'!B:B),""),IF(ISERROR(_xlpm.v),"",_xlpm.v))</f>
        <v>&gt; External document location</v>
      </c>
      <c r="AA39" s="204" t="s">
        <v>548</v>
      </c>
    </row>
    <row r="40" spans="1:27" s="205" customFormat="1" ht="12.75" customHeight="1">
      <c r="A40" s="4">
        <f>IF(ISTEXT(E40),_xlfn.XLOOKUP(E40,'[1]SME09-01_LHM'!$D:$D,'[1]SME09-01_LHM'!$B:$B))</f>
        <v>43.4</v>
      </c>
      <c r="B40" s="4">
        <f>_xlfn.XLOOKUP(F40,'[1]SME09-01_LHM'!$I:$I,'[1]SME09-01_LHM'!$B:$B)</f>
        <v>43.4</v>
      </c>
      <c r="C40" s="22">
        <f>ROW()-25</f>
        <v>15</v>
      </c>
      <c r="D40" s="16" t="s">
        <v>1138</v>
      </c>
      <c r="E40" s="16" t="s">
        <v>1941</v>
      </c>
      <c r="F40" s="18" t="s">
        <v>1940</v>
      </c>
      <c r="G40" s="18" t="s">
        <v>1939</v>
      </c>
      <c r="H40" s="16" t="s">
        <v>8</v>
      </c>
      <c r="I40" s="70" t="s">
        <v>143</v>
      </c>
      <c r="J40" s="188" t="s">
        <v>18</v>
      </c>
      <c r="K40" s="181" t="s">
        <v>18</v>
      </c>
      <c r="L40" s="181" t="s">
        <v>18</v>
      </c>
      <c r="M40" s="186"/>
      <c r="N40" s="187" t="s">
        <v>27</v>
      </c>
      <c r="O40" s="202"/>
      <c r="P40" s="105" t="s">
        <v>126</v>
      </c>
      <c r="Q40" s="105" t="s">
        <v>322</v>
      </c>
      <c r="R40" s="105" t="s">
        <v>10</v>
      </c>
      <c r="S40" s="104"/>
      <c r="T40" s="103"/>
      <c r="U40" s="103" t="s">
        <v>24</v>
      </c>
      <c r="V40" s="105" t="s">
        <v>24</v>
      </c>
      <c r="W40" s="203" t="s">
        <v>10</v>
      </c>
      <c r="X40" s="203" t="s">
        <v>10</v>
      </c>
      <c r="Y40" s="182" t="str">
        <f>_xlfn.LET(_xlpm.v,_xlfn.XLOOKUP(E40,'[1]SME09-01_LHM'!$D:$D,'[1]SME09-01_LHM'!$AL:$AL),IF(_xlpm.v=0,"",_xlpm.v))</f>
        <v>IBT-026</v>
      </c>
      <c r="Z40" s="104" t="str">
        <f>_xlfn.LET(_xlpm.v,IF(ISTEXT(Y40),_xlfn.XLOOKUP(Y40,'JP-PINT'!A:A,'JP-PINT'!B:B),""),IF(ISERROR(_xlpm.v),"",_xlpm.v))</f>
        <v>&gt; Preceding Invoice issue date</v>
      </c>
      <c r="AA40" s="187" t="s">
        <v>24</v>
      </c>
    </row>
    <row r="41" spans="1:27" s="205" customFormat="1" ht="12.75" customHeight="1">
      <c r="A41" s="4">
        <f>IF(ISTEXT(E41),_xlfn.XLOOKUP(E41,'[1]SME09-01_LHM'!$D:$D,'[1]SME09-01_LHM'!$B:$B))</f>
        <v>43.5</v>
      </c>
      <c r="B41" s="4">
        <f>_xlfn.XLOOKUP(F41,'[1]SME09-01_LHM'!$I:$I,'[1]SME09-01_LHM'!$B:$B)</f>
        <v>43.5</v>
      </c>
      <c r="C41" s="22">
        <f>ROW()-25</f>
        <v>16</v>
      </c>
      <c r="D41" s="16" t="s">
        <v>1138</v>
      </c>
      <c r="E41" s="16" t="s">
        <v>1938</v>
      </c>
      <c r="F41" s="18" t="s">
        <v>1937</v>
      </c>
      <c r="G41" s="18" t="s">
        <v>1936</v>
      </c>
      <c r="H41" s="16" t="s">
        <v>8</v>
      </c>
      <c r="I41" s="70" t="s">
        <v>19</v>
      </c>
      <c r="J41" s="188" t="s">
        <v>66</v>
      </c>
      <c r="K41" s="181" t="s">
        <v>66</v>
      </c>
      <c r="L41" s="181" t="s">
        <v>66</v>
      </c>
      <c r="M41" s="186"/>
      <c r="N41" s="187" t="s">
        <v>27</v>
      </c>
      <c r="O41" s="202"/>
      <c r="P41" s="105" t="s">
        <v>126</v>
      </c>
      <c r="Q41" s="105" t="s">
        <v>314</v>
      </c>
      <c r="R41" s="105" t="s">
        <v>10</v>
      </c>
      <c r="S41" s="104" t="s">
        <v>313</v>
      </c>
      <c r="T41" s="103" t="s">
        <v>158</v>
      </c>
      <c r="U41" s="103" t="s">
        <v>1935</v>
      </c>
      <c r="V41" s="105" t="s">
        <v>1934</v>
      </c>
      <c r="W41" s="203" t="s">
        <v>10</v>
      </c>
      <c r="X41" s="203" t="s">
        <v>10</v>
      </c>
      <c r="Y41" s="182" t="str">
        <f>_xlfn.LET(_xlpm.v,_xlfn.XLOOKUP(E41,'[1]SME09-01_LHM'!$D:$D,'[1]SME09-01_LHM'!$AL:$AL),IF(_xlpm.v=0,"",_xlpm.v))</f>
        <v/>
      </c>
      <c r="Z41" s="104" t="str">
        <f>_xlfn.LET(_xlpm.v,IF(ISTEXT(Y41),_xlfn.XLOOKUP(Y41,'JP-PINT'!A:A,'JP-PINT'!B:B),""),IF(ISERROR(_xlpm.v),"",_xlpm.v))</f>
        <v/>
      </c>
      <c r="AA41" s="187" t="s">
        <v>24</v>
      </c>
    </row>
    <row r="42" spans="1:27" s="205" customFormat="1" ht="12.75" customHeight="1">
      <c r="A42" s="4">
        <f>IF(ISTEXT(E42),_xlfn.XLOOKUP(E42,'[1]SME09-01_LHM'!$D:$D,'[1]SME09-01_LHM'!$B:$B))</f>
        <v>50</v>
      </c>
      <c r="B42" s="4">
        <f>_xlfn.XLOOKUP(F42,'[1]SME09-01_LHM'!$I:$I,'[1]SME09-01_LHM'!$B:$B)</f>
        <v>50</v>
      </c>
      <c r="C42" s="22">
        <f>ROW()-25</f>
        <v>17</v>
      </c>
      <c r="D42" s="16" t="s">
        <v>1138</v>
      </c>
      <c r="E42" s="16" t="s">
        <v>1933</v>
      </c>
      <c r="F42" s="18" t="s">
        <v>1932</v>
      </c>
      <c r="G42" s="18" t="s">
        <v>1931</v>
      </c>
      <c r="H42" s="16" t="s">
        <v>8</v>
      </c>
      <c r="I42" s="70" t="s">
        <v>143</v>
      </c>
      <c r="J42" s="188" t="s">
        <v>18</v>
      </c>
      <c r="K42" s="181" t="s">
        <v>18</v>
      </c>
      <c r="L42" s="181" t="s">
        <v>18</v>
      </c>
      <c r="M42" s="186"/>
      <c r="N42" s="187" t="s">
        <v>27</v>
      </c>
      <c r="O42" s="7"/>
      <c r="P42" s="105" t="s">
        <v>126</v>
      </c>
      <c r="Q42" s="105" t="s">
        <v>307</v>
      </c>
      <c r="R42" s="105" t="s">
        <v>10</v>
      </c>
      <c r="S42" s="198"/>
      <c r="T42" s="71" t="s">
        <v>103</v>
      </c>
      <c r="U42" s="71" t="s">
        <v>24</v>
      </c>
      <c r="V42" s="66" t="s">
        <v>24</v>
      </c>
      <c r="W42" s="3" t="s">
        <v>10</v>
      </c>
      <c r="X42" s="3" t="s">
        <v>10</v>
      </c>
      <c r="Y42" s="182" t="str">
        <f>_xlfn.LET(_xlpm.v,_xlfn.XLOOKUP(E42,'[1]SME09-01_LHM'!$D:$D,'[1]SME09-01_LHM'!$AL:$AL),IF(_xlpm.v=0,"",_xlpm.v))</f>
        <v/>
      </c>
      <c r="Z42" s="104" t="str">
        <f>_xlfn.LET(_xlpm.v,IF(ISTEXT(Y42),_xlfn.XLOOKUP(Y42,'JP-PINT'!A:A,'JP-PINT'!B:B),""),IF(ISERROR(_xlpm.v),"",_xlpm.v))</f>
        <v/>
      </c>
      <c r="AA42" s="187" t="s">
        <v>24</v>
      </c>
    </row>
    <row r="43" spans="1:27" s="6" customFormat="1" ht="12.75" customHeight="1">
      <c r="A43" s="4">
        <f>IF(ISTEXT(E43),_xlfn.XLOOKUP(E43,'[1]SME09-01_LHM'!$D:$D,'[1]SME09-01_LHM'!$B:$B))</f>
        <v>51</v>
      </c>
      <c r="B43" s="4">
        <f>_xlfn.XLOOKUP(F43,'[1]SME09-01_LHM'!$I:$I,'[1]SME09-01_LHM'!$B:$B)</f>
        <v>51</v>
      </c>
      <c r="C43" s="22">
        <f>ROW()-25</f>
        <v>18</v>
      </c>
      <c r="D43" s="16" t="s">
        <v>1138</v>
      </c>
      <c r="E43" s="16" t="s">
        <v>1930</v>
      </c>
      <c r="F43" s="18" t="s">
        <v>1929</v>
      </c>
      <c r="G43" s="18" t="s">
        <v>1928</v>
      </c>
      <c r="H43" s="16" t="s">
        <v>8</v>
      </c>
      <c r="I43" s="70" t="s">
        <v>52</v>
      </c>
      <c r="J43" s="188" t="s">
        <v>18</v>
      </c>
      <c r="K43" s="16" t="s">
        <v>18</v>
      </c>
      <c r="L43" s="16" t="s">
        <v>18</v>
      </c>
      <c r="M43" s="186"/>
      <c r="N43" s="204" t="s">
        <v>17</v>
      </c>
      <c r="O43" s="206"/>
      <c r="P43" s="105" t="s">
        <v>126</v>
      </c>
      <c r="Q43" s="105" t="s">
        <v>504</v>
      </c>
      <c r="R43" s="105" t="s">
        <v>10</v>
      </c>
      <c r="S43" s="104"/>
      <c r="T43" s="103"/>
      <c r="U43" s="103" t="s">
        <v>24</v>
      </c>
      <c r="V43" s="105" t="s">
        <v>24</v>
      </c>
      <c r="W43" s="206" t="s">
        <v>10</v>
      </c>
      <c r="X43" s="206" t="s">
        <v>10</v>
      </c>
      <c r="Y43" s="182" t="str">
        <f>_xlfn.LET(_xlpm.v,_xlfn.XLOOKUP(E43,'[1]SME09-01_LHM'!$D:$D,'[1]SME09-01_LHM'!$AL:$AL),IF(_xlpm.v=0,"",_xlpm.v))</f>
        <v>IBT-123</v>
      </c>
      <c r="Z43" s="104" t="str">
        <f>_xlfn.LET(_xlpm.v,IF(ISTEXT(Y43),_xlfn.XLOOKUP(Y43,'JP-PINT'!A:A,'JP-PINT'!B:B),""),IF(ISERROR(_xlpm.v),"",_xlpm.v))</f>
        <v>&gt; Supporting document description</v>
      </c>
      <c r="AA43" s="187" t="s">
        <v>8</v>
      </c>
    </row>
    <row r="44" spans="1:27" s="207" customFormat="1" ht="12.75" customHeight="1">
      <c r="A44" s="4">
        <f>IF(ISTEXT(E44),_xlfn.XLOOKUP(E44,'[1]SME09-01_LHM'!$D:$D,'[1]SME09-01_LHM'!$B:$B))</f>
        <v>52</v>
      </c>
      <c r="B44" s="4">
        <f>_xlfn.XLOOKUP(F44,'[1]SME09-01_LHM'!$I:$I,'[1]SME09-01_LHM'!$B:$B)</f>
        <v>52</v>
      </c>
      <c r="C44" s="22">
        <f>ROW()-25</f>
        <v>19</v>
      </c>
      <c r="D44" s="16" t="s">
        <v>1138</v>
      </c>
      <c r="E44" s="16" t="s">
        <v>1926</v>
      </c>
      <c r="F44" s="18" t="s">
        <v>1925</v>
      </c>
      <c r="G44" s="18" t="s">
        <v>1924</v>
      </c>
      <c r="H44" s="16" t="s">
        <v>8</v>
      </c>
      <c r="I44" s="70" t="s">
        <v>143</v>
      </c>
      <c r="J44" s="188" t="s">
        <v>18</v>
      </c>
      <c r="K44" s="181" t="s">
        <v>18</v>
      </c>
      <c r="L44" s="181" t="s">
        <v>18</v>
      </c>
      <c r="M44" s="186"/>
      <c r="N44" s="187" t="s">
        <v>27</v>
      </c>
      <c r="O44" s="62"/>
      <c r="P44" s="105" t="s">
        <v>126</v>
      </c>
      <c r="Q44" s="105" t="s">
        <v>303</v>
      </c>
      <c r="R44" s="105" t="s">
        <v>10</v>
      </c>
      <c r="S44" s="198" t="s">
        <v>302</v>
      </c>
      <c r="T44" s="70" t="s">
        <v>158</v>
      </c>
      <c r="U44" s="71" t="s">
        <v>24</v>
      </c>
      <c r="V44" s="66" t="s">
        <v>24</v>
      </c>
      <c r="W44" s="56" t="s">
        <v>10</v>
      </c>
      <c r="X44" s="55" t="s">
        <v>10</v>
      </c>
      <c r="Y44" s="182" t="str">
        <f>_xlfn.LET(_xlpm.v,_xlfn.XLOOKUP(E44,'[1]SME09-01_LHM'!$D:$D,'[1]SME09-01_LHM'!$AL:$AL),IF(_xlpm.v=0,"",_xlpm.v))</f>
        <v/>
      </c>
      <c r="Z44" s="104" t="str">
        <f>_xlfn.LET(_xlpm.v,IF(ISTEXT(Y44),_xlfn.XLOOKUP(Y44,'JP-PINT'!A:A,'JP-PINT'!B:B),""),IF(ISERROR(_xlpm.v),"",_xlpm.v))</f>
        <v/>
      </c>
      <c r="AA44" s="187" t="s">
        <v>24</v>
      </c>
    </row>
    <row r="45" spans="1:27" s="6" customFormat="1" ht="12.75" customHeight="1">
      <c r="A45" s="4">
        <f>IF(ISTEXT(E45),_xlfn.XLOOKUP(E45,'[1]SME09-01_LHM'!$D:$D,'[1]SME09-01_LHM'!$B:$B))</f>
        <v>54.7</v>
      </c>
      <c r="B45" s="4">
        <f>_xlfn.XLOOKUP(F45,'[1]SME09-01_LHM'!$I:$I,'[1]SME09-01_LHM'!$B:$B)</f>
        <v>54.7</v>
      </c>
      <c r="C45" s="22">
        <f>ROW()-25</f>
        <v>20</v>
      </c>
      <c r="D45" s="16" t="s">
        <v>1138</v>
      </c>
      <c r="E45" s="16" t="s">
        <v>1923</v>
      </c>
      <c r="F45" s="18" t="s">
        <v>1922</v>
      </c>
      <c r="G45" s="18" t="s">
        <v>1921</v>
      </c>
      <c r="H45" s="16" t="s">
        <v>8</v>
      </c>
      <c r="I45" s="70" t="s">
        <v>143</v>
      </c>
      <c r="J45" s="188" t="s">
        <v>18</v>
      </c>
      <c r="K45" s="181" t="s">
        <v>18</v>
      </c>
      <c r="L45" s="181" t="s">
        <v>18</v>
      </c>
      <c r="M45" s="186"/>
      <c r="N45" s="181"/>
      <c r="O45" s="7"/>
      <c r="P45" s="105" t="s">
        <v>126</v>
      </c>
      <c r="Q45" s="102" t="s">
        <v>298</v>
      </c>
      <c r="R45" s="105" t="s">
        <v>10</v>
      </c>
      <c r="S45" s="198" t="s">
        <v>64</v>
      </c>
      <c r="T45" s="71" t="s">
        <v>63</v>
      </c>
      <c r="U45" s="71" t="s">
        <v>24</v>
      </c>
      <c r="V45" s="66" t="s">
        <v>24</v>
      </c>
      <c r="W45" s="3" t="s">
        <v>10</v>
      </c>
      <c r="X45" s="3" t="s">
        <v>10</v>
      </c>
      <c r="Y45" s="182" t="str">
        <f>_xlfn.LET(_xlpm.v,_xlfn.XLOOKUP(E45,'[1]SME09-01_LHM'!$D:$D,'[1]SME09-01_LHM'!$AL:$AL),IF(_xlpm.v=0,"",_xlpm.v))</f>
        <v/>
      </c>
      <c r="Z45" s="104" t="str">
        <f>_xlfn.LET(_xlpm.v,IF(ISTEXT(Y45),_xlfn.XLOOKUP(Y45,'JP-PINT'!A:A,'JP-PINT'!B:B),""),IF(ISERROR(_xlpm.v),"",_xlpm.v))</f>
        <v/>
      </c>
      <c r="AA45" s="187" t="s">
        <v>24</v>
      </c>
    </row>
    <row r="46" spans="1:27" s="6" customFormat="1" ht="12.75" customHeight="1">
      <c r="A46" s="4">
        <f>IF(ISTEXT(E46),_xlfn.XLOOKUP(E46,'[1]SME09-01_LHM'!$D:$D,'[1]SME09-01_LHM'!$B:$B))</f>
        <v>55</v>
      </c>
      <c r="B46" s="4">
        <f>_xlfn.XLOOKUP(F46,'[1]SME09-01_LHM'!$I:$I,'[1]SME09-01_LHM'!$B:$B)</f>
        <v>55</v>
      </c>
      <c r="C46" s="22">
        <f>ROW()-25</f>
        <v>21</v>
      </c>
      <c r="D46" s="26" t="s">
        <v>1138</v>
      </c>
      <c r="E46" s="26" t="s">
        <v>1920</v>
      </c>
      <c r="F46" s="93" t="s">
        <v>2122</v>
      </c>
      <c r="G46" s="25" t="s">
        <v>1919</v>
      </c>
      <c r="H46" s="95" t="s">
        <v>43</v>
      </c>
      <c r="I46" s="200" t="s">
        <v>143</v>
      </c>
      <c r="J46" s="201" t="s">
        <v>18</v>
      </c>
      <c r="K46" s="199" t="s">
        <v>18</v>
      </c>
      <c r="L46" s="199" t="s">
        <v>18</v>
      </c>
      <c r="M46" s="189"/>
      <c r="N46" s="181" t="s">
        <v>72</v>
      </c>
      <c r="O46" s="7"/>
      <c r="P46" s="105" t="s">
        <v>126</v>
      </c>
      <c r="Q46" s="105" t="s">
        <v>1918</v>
      </c>
      <c r="R46" s="105" t="s">
        <v>25</v>
      </c>
      <c r="S46" s="104"/>
      <c r="T46" s="106"/>
      <c r="U46" s="106" t="s">
        <v>24</v>
      </c>
      <c r="V46" s="105" t="s">
        <v>24</v>
      </c>
      <c r="W46" s="3" t="s">
        <v>25</v>
      </c>
      <c r="X46" s="3" t="s">
        <v>25</v>
      </c>
      <c r="Y46" s="182" t="str">
        <f>_xlfn.LET(_xlpm.v,_xlfn.XLOOKUP(E46,'[1]SME09-01_LHM'!$D:$D,'[1]SME09-01_LHM'!$AL:$AL),IF(_xlpm.v=0,"",_xlpm.v))</f>
        <v>IBT-125</v>
      </c>
      <c r="Z46" s="104" t="str">
        <f>_xlfn.LET(_xlpm.v,IF(ISTEXT(Y46),_xlfn.XLOOKUP(Y46,'JP-PINT'!A:A,'JP-PINT'!B:B),""),IF(ISERROR(_xlpm.v),"",_xlpm.v))</f>
        <v>&gt; Attached document</v>
      </c>
      <c r="AA46" s="23" t="s">
        <v>8</v>
      </c>
    </row>
    <row r="47" spans="1:27" ht="12.75" customHeight="1">
      <c r="A47" s="4">
        <f>IF(ISTEXT(E47),_xlfn.XLOOKUP(E47,'[1]SME09-01_LHM'!$D:$D,'[1]SME09-01_LHM'!$B:$B))</f>
        <v>57</v>
      </c>
      <c r="B47" s="4">
        <f>_xlfn.XLOOKUP(F47,'[1]SME09-01_LHM'!$I:$I,'[1]SME09-01_LHM'!$B:$B)</f>
        <v>57</v>
      </c>
      <c r="C47" s="18">
        <f>ROW()-25</f>
        <v>22</v>
      </c>
      <c r="D47" s="16" t="s">
        <v>1208</v>
      </c>
      <c r="E47" s="16" t="s">
        <v>1916</v>
      </c>
      <c r="F47" s="18" t="s">
        <v>1915</v>
      </c>
      <c r="G47" s="18" t="s">
        <v>1914</v>
      </c>
      <c r="H47" s="16" t="s">
        <v>8</v>
      </c>
      <c r="I47" s="70" t="s">
        <v>143</v>
      </c>
      <c r="J47" s="188" t="s">
        <v>18</v>
      </c>
      <c r="K47" s="181" t="s">
        <v>18</v>
      </c>
      <c r="L47" s="181" t="s">
        <v>18</v>
      </c>
      <c r="M47" s="186"/>
      <c r="N47" s="181"/>
      <c r="P47" s="105" t="s">
        <v>126</v>
      </c>
      <c r="Q47" s="105" t="s">
        <v>1913</v>
      </c>
      <c r="R47" s="105" t="s">
        <v>10</v>
      </c>
      <c r="S47" s="104"/>
      <c r="T47" s="106"/>
      <c r="U47" s="106"/>
      <c r="V47" s="105"/>
      <c r="W47" s="3" t="s">
        <v>10</v>
      </c>
      <c r="X47" s="3" t="s">
        <v>10</v>
      </c>
      <c r="Y47" s="182" t="str">
        <f>_xlfn.LET(_xlpm.v,_xlfn.XLOOKUP(E47,'[1]SME09-01_LHM'!$D:$D,'[1]SME09-01_LHM'!$AL:$AL),IF(_xlpm.v=0,"",_xlpm.v))</f>
        <v/>
      </c>
      <c r="Z47" s="104" t="str">
        <f>_xlfn.LET(_xlpm.v,IF(ISTEXT(Y47),_xlfn.XLOOKUP(Y47,'JP-PINT'!A:A,'JP-PINT'!B:B),""),IF(ISERROR(_xlpm.v),"",_xlpm.v))</f>
        <v/>
      </c>
      <c r="AA47" s="16"/>
    </row>
    <row r="48" spans="1:27" ht="12.75" customHeight="1">
      <c r="A48" s="4">
        <f>IF(ISTEXT(E48),_xlfn.XLOOKUP(E48,'[1]SME09-01_LHM'!$D:$D,'[1]SME09-01_LHM'!$B:$B))</f>
        <v>0</v>
      </c>
      <c r="B48" s="4">
        <f>_xlfn.XLOOKUP(F48,'[1]SME09-01_LHM'!$I:$I,'[1]SME09-01_LHM'!$B:$B)</f>
        <v>0</v>
      </c>
      <c r="C48" s="18">
        <f>ROW()-25</f>
        <v>23</v>
      </c>
      <c r="D48" s="16" t="s">
        <v>1208</v>
      </c>
      <c r="E48" s="16" t="s">
        <v>1912</v>
      </c>
      <c r="F48" s="18" t="s">
        <v>1911</v>
      </c>
      <c r="G48" s="18" t="s">
        <v>1910</v>
      </c>
      <c r="H48" s="16" t="s">
        <v>8</v>
      </c>
      <c r="I48" s="70" t="s">
        <v>143</v>
      </c>
      <c r="J48" s="188" t="s">
        <v>18</v>
      </c>
      <c r="K48" s="181" t="s">
        <v>18</v>
      </c>
      <c r="L48" s="181" t="s">
        <v>18</v>
      </c>
      <c r="M48" s="186"/>
      <c r="N48" s="181"/>
      <c r="P48" s="105" t="s">
        <v>126</v>
      </c>
      <c r="Q48" s="105" t="s">
        <v>1909</v>
      </c>
      <c r="R48" s="105" t="s">
        <v>10</v>
      </c>
      <c r="S48" s="104"/>
      <c r="T48" s="106"/>
      <c r="U48" s="106"/>
      <c r="V48" s="105"/>
      <c r="W48" s="3" t="s">
        <v>10</v>
      </c>
      <c r="X48" s="3" t="s">
        <v>10</v>
      </c>
      <c r="Y48" s="182" t="str">
        <f>_xlfn.LET(_xlpm.v,_xlfn.XLOOKUP(E48,'[1]SME09-01_LHM'!$D:$D,'[1]SME09-01_LHM'!$AL:$AL),IF(_xlpm.v=0,"",_xlpm.v))</f>
        <v/>
      </c>
      <c r="Z48" s="104" t="str">
        <f>_xlfn.LET(_xlpm.v,IF(ISTEXT(Y48),_xlfn.XLOOKUP(Y48,'JP-PINT'!A:A,'JP-PINT'!B:B),""),IF(ISERROR(_xlpm.v),"",_xlpm.v))</f>
        <v/>
      </c>
      <c r="AA48" s="16"/>
    </row>
    <row r="49" spans="1:27" s="6" customFormat="1" ht="12.75" customHeight="1">
      <c r="A49" s="4">
        <f>IF(ISTEXT(E49),_xlfn.XLOOKUP(E49,'[1]SME09-01_LHM'!$D:$D,'[1]SME09-01_LHM'!$B:$B))</f>
        <v>59</v>
      </c>
      <c r="B49" s="4">
        <f>_xlfn.XLOOKUP(F49,'[1]SME09-01_LHM'!$I:$I,'[1]SME09-01_LHM'!$B:$B)</f>
        <v>59</v>
      </c>
      <c r="C49" s="18">
        <f>ROW()-25</f>
        <v>24</v>
      </c>
      <c r="D49" s="16" t="s">
        <v>1208</v>
      </c>
      <c r="E49" s="16" t="s">
        <v>1908</v>
      </c>
      <c r="F49" s="18" t="s">
        <v>1907</v>
      </c>
      <c r="G49" s="18" t="s">
        <v>1906</v>
      </c>
      <c r="H49" s="16" t="s">
        <v>8</v>
      </c>
      <c r="I49" s="70" t="s">
        <v>143</v>
      </c>
      <c r="J49" s="188" t="s">
        <v>18</v>
      </c>
      <c r="K49" s="181" t="s">
        <v>18</v>
      </c>
      <c r="L49" s="181" t="s">
        <v>18</v>
      </c>
      <c r="M49" s="186"/>
      <c r="N49" s="181" t="s">
        <v>183</v>
      </c>
      <c r="O49" s="7"/>
      <c r="P49" s="105" t="s">
        <v>126</v>
      </c>
      <c r="Q49" s="105" t="s">
        <v>1905</v>
      </c>
      <c r="R49" s="105" t="s">
        <v>10</v>
      </c>
      <c r="S49" s="104"/>
      <c r="T49" s="106"/>
      <c r="U49" s="106"/>
      <c r="V49" s="105"/>
      <c r="W49" s="3" t="s">
        <v>10</v>
      </c>
      <c r="X49" s="3" t="s">
        <v>10</v>
      </c>
      <c r="Y49" s="182" t="str">
        <f>_xlfn.LET(_xlpm.v,_xlfn.XLOOKUP(E49,'[1]SME09-01_LHM'!$D:$D,'[1]SME09-01_LHM'!$AL:$AL),IF(_xlpm.v=0,"",_xlpm.v))</f>
        <v>IBT-125-2</v>
      </c>
      <c r="Z49" s="104" t="str">
        <f>_xlfn.LET(_xlpm.v,IF(ISTEXT(Y49),_xlfn.XLOOKUP(Y49,'JP-PINT'!A:A,'JP-PINT'!B:B),""),IF(ISERROR(_xlpm.v),"",_xlpm.v))</f>
        <v>&gt;&gt; Attached document Filename</v>
      </c>
      <c r="AA49" s="16" t="s">
        <v>31</v>
      </c>
    </row>
    <row r="50" spans="1:27" s="6" customFormat="1" ht="12.75" customHeight="1">
      <c r="A50" s="4">
        <f>IF(ISTEXT(E50),_xlfn.XLOOKUP(E50,'[1]SME09-01_LHM'!$D:$D,'[1]SME09-01_LHM'!$B:$B))</f>
        <v>60</v>
      </c>
      <c r="B50" s="4">
        <f>_xlfn.XLOOKUP(F50,'[1]SME09-01_LHM'!$I:$I,'[1]SME09-01_LHM'!$B:$B)</f>
        <v>60</v>
      </c>
      <c r="C50" s="18">
        <f>ROW()-25</f>
        <v>25</v>
      </c>
      <c r="D50" s="16" t="s">
        <v>1208</v>
      </c>
      <c r="E50" s="16" t="s">
        <v>1904</v>
      </c>
      <c r="F50" s="18" t="s">
        <v>1903</v>
      </c>
      <c r="G50" s="18" t="s">
        <v>1902</v>
      </c>
      <c r="H50" s="16" t="s">
        <v>8</v>
      </c>
      <c r="I50" s="70" t="s">
        <v>143</v>
      </c>
      <c r="J50" s="188" t="s">
        <v>18</v>
      </c>
      <c r="K50" s="181" t="s">
        <v>18</v>
      </c>
      <c r="L50" s="181" t="s">
        <v>18</v>
      </c>
      <c r="M50" s="186"/>
      <c r="N50" s="181"/>
      <c r="O50" s="7"/>
      <c r="P50" s="105" t="s">
        <v>126</v>
      </c>
      <c r="Q50" s="105" t="s">
        <v>1901</v>
      </c>
      <c r="R50" s="105" t="s">
        <v>10</v>
      </c>
      <c r="S50" s="104"/>
      <c r="T50" s="106"/>
      <c r="U50" s="106"/>
      <c r="V50" s="105"/>
      <c r="W50" s="3" t="s">
        <v>10</v>
      </c>
      <c r="X50" s="3" t="s">
        <v>10</v>
      </c>
      <c r="Y50" s="182" t="str">
        <f>_xlfn.LET(_xlpm.v,_xlfn.XLOOKUP(E50,'[1]SME09-01_LHM'!$D:$D,'[1]SME09-01_LHM'!$AL:$AL),IF(_xlpm.v=0,"",_xlpm.v))</f>
        <v/>
      </c>
      <c r="Z50" s="104" t="str">
        <f>_xlfn.LET(_xlpm.v,IF(ISTEXT(Y50),_xlfn.XLOOKUP(Y50,'JP-PINT'!A:A,'JP-PINT'!B:B),""),IF(ISERROR(_xlpm.v),"",_xlpm.v))</f>
        <v/>
      </c>
      <c r="AA50" s="16"/>
    </row>
    <row r="51" spans="1:27" s="6" customFormat="1" ht="12.75" customHeight="1">
      <c r="A51" s="4">
        <f>IF(ISTEXT(E51),_xlfn.XLOOKUP(E51,'[1]SME09-01_LHM'!$D:$D,'[1]SME09-01_LHM'!$B:$B))</f>
        <v>61</v>
      </c>
      <c r="B51" s="4">
        <f>_xlfn.XLOOKUP(F51,'[1]SME09-01_LHM'!$I:$I,'[1]SME09-01_LHM'!$B:$B)</f>
        <v>61</v>
      </c>
      <c r="C51" s="18">
        <f>ROW()-25</f>
        <v>26</v>
      </c>
      <c r="D51" s="16" t="s">
        <v>1208</v>
      </c>
      <c r="E51" s="16" t="s">
        <v>1900</v>
      </c>
      <c r="F51" s="18" t="s">
        <v>1899</v>
      </c>
      <c r="G51" s="18" t="s">
        <v>1899</v>
      </c>
      <c r="H51" s="16" t="s">
        <v>8</v>
      </c>
      <c r="I51" s="70" t="s">
        <v>143</v>
      </c>
      <c r="J51" s="188" t="s">
        <v>18</v>
      </c>
      <c r="K51" s="181" t="s">
        <v>18</v>
      </c>
      <c r="L51" s="181" t="s">
        <v>18</v>
      </c>
      <c r="M51" s="186"/>
      <c r="N51" s="181" t="s">
        <v>34</v>
      </c>
      <c r="O51" s="7"/>
      <c r="P51" s="105" t="s">
        <v>126</v>
      </c>
      <c r="Q51" s="105" t="s">
        <v>1898</v>
      </c>
      <c r="R51" s="105" t="s">
        <v>10</v>
      </c>
      <c r="S51" s="104" t="s">
        <v>1897</v>
      </c>
      <c r="T51" s="106" t="s">
        <v>1896</v>
      </c>
      <c r="U51" s="106"/>
      <c r="V51" s="105"/>
      <c r="W51" s="3" t="s">
        <v>10</v>
      </c>
      <c r="X51" s="3" t="s">
        <v>10</v>
      </c>
      <c r="Y51" s="182" t="str">
        <f>_xlfn.LET(_xlpm.v,_xlfn.XLOOKUP(E51,'[1]SME09-01_LHM'!$D:$D,'[1]SME09-01_LHM'!$AL:$AL),IF(_xlpm.v=0,"",_xlpm.v))</f>
        <v>IBT-125-1</v>
      </c>
      <c r="Z51" s="104" t="str">
        <f>_xlfn.LET(_xlpm.v,IF(ISTEXT(Y51),_xlfn.XLOOKUP(Y51,'JP-PINT'!A:A,'JP-PINT'!B:B),""),IF(ISERROR(_xlpm.v),"",_xlpm.v))</f>
        <v>&gt;&gt; Attached document Mime code</v>
      </c>
      <c r="AA51" s="16" t="s">
        <v>128</v>
      </c>
    </row>
    <row r="52" spans="1:27" s="6" customFormat="1" ht="12.75" customHeight="1">
      <c r="A52" s="4">
        <f>IF(ISTEXT(E52),_xlfn.XLOOKUP(E52,'[1]SME09-01_LHM'!$D:$D,'[1]SME09-01_LHM'!$B:$B))</f>
        <v>0</v>
      </c>
      <c r="B52" s="4">
        <f>_xlfn.XLOOKUP(F52,'[1]SME09-01_LHM'!$I:$I,'[1]SME09-01_LHM'!$B:$B)</f>
        <v>0</v>
      </c>
      <c r="C52" s="18">
        <f>ROW()-25</f>
        <v>27</v>
      </c>
      <c r="D52" s="16" t="s">
        <v>1208</v>
      </c>
      <c r="E52" s="16" t="s">
        <v>1895</v>
      </c>
      <c r="F52" s="18" t="s">
        <v>1894</v>
      </c>
      <c r="G52" s="18" t="s">
        <v>1893</v>
      </c>
      <c r="H52" s="16" t="s">
        <v>8</v>
      </c>
      <c r="I52" s="70" t="s">
        <v>143</v>
      </c>
      <c r="J52" s="188" t="s">
        <v>18</v>
      </c>
      <c r="K52" s="181" t="s">
        <v>18</v>
      </c>
      <c r="L52" s="181" t="s">
        <v>18</v>
      </c>
      <c r="M52" s="186"/>
      <c r="N52" s="181"/>
      <c r="O52" s="7"/>
      <c r="P52" s="105" t="s">
        <v>126</v>
      </c>
      <c r="Q52" s="105" t="s">
        <v>1892</v>
      </c>
      <c r="R52" s="105" t="s">
        <v>10</v>
      </c>
      <c r="S52" s="104"/>
      <c r="T52" s="106"/>
      <c r="U52" s="106"/>
      <c r="V52" s="105"/>
      <c r="W52" s="3" t="s">
        <v>10</v>
      </c>
      <c r="X52" s="3" t="s">
        <v>10</v>
      </c>
      <c r="Y52" s="182" t="str">
        <f>_xlfn.LET(_xlpm.v,_xlfn.XLOOKUP(E52,'[1]SME09-01_LHM'!$D:$D,'[1]SME09-01_LHM'!$AL:$AL),IF(_xlpm.v=0,"",_xlpm.v))</f>
        <v/>
      </c>
      <c r="Z52" s="104" t="str">
        <f>_xlfn.LET(_xlpm.v,IF(ISTEXT(Y52),_xlfn.XLOOKUP(Y52,'JP-PINT'!A:A,'JP-PINT'!B:B),""),IF(ISERROR(_xlpm.v),"",_xlpm.v))</f>
        <v/>
      </c>
      <c r="AA52" s="16"/>
    </row>
    <row r="53" spans="1:27" s="6" customFormat="1" ht="12.75" customHeight="1">
      <c r="A53" s="4">
        <f>IF(ISTEXT(E53),_xlfn.XLOOKUP(E53,'[1]SME09-01_LHM'!$D:$D,'[1]SME09-01_LHM'!$B:$B))</f>
        <v>0</v>
      </c>
      <c r="B53" s="4">
        <f>_xlfn.XLOOKUP(F53,'[1]SME09-01_LHM'!$I:$I,'[1]SME09-01_LHM'!$B:$B)</f>
        <v>0</v>
      </c>
      <c r="C53" s="18">
        <f>ROW()-25</f>
        <v>28</v>
      </c>
      <c r="D53" s="16" t="s">
        <v>1208</v>
      </c>
      <c r="E53" s="16" t="s">
        <v>1891</v>
      </c>
      <c r="F53" s="18" t="s">
        <v>1890</v>
      </c>
      <c r="G53" s="18" t="s">
        <v>1889</v>
      </c>
      <c r="H53" s="16" t="s">
        <v>8</v>
      </c>
      <c r="I53" s="70" t="s">
        <v>143</v>
      </c>
      <c r="J53" s="188" t="s">
        <v>18</v>
      </c>
      <c r="K53" s="181" t="s">
        <v>18</v>
      </c>
      <c r="L53" s="181" t="s">
        <v>18</v>
      </c>
      <c r="M53" s="186"/>
      <c r="N53" s="181"/>
      <c r="O53" s="7"/>
      <c r="P53" s="105" t="s">
        <v>126</v>
      </c>
      <c r="Q53" s="105" t="s">
        <v>1888</v>
      </c>
      <c r="R53" s="105" t="s">
        <v>10</v>
      </c>
      <c r="S53" s="104"/>
      <c r="T53" s="106"/>
      <c r="U53" s="106"/>
      <c r="V53" s="105"/>
      <c r="W53" s="3" t="s">
        <v>10</v>
      </c>
      <c r="X53" s="3" t="s">
        <v>10</v>
      </c>
      <c r="Y53" s="182" t="str">
        <f>_xlfn.LET(_xlpm.v,_xlfn.XLOOKUP(E53,'[1]SME09-01_LHM'!$D:$D,'[1]SME09-01_LHM'!$AL:$AL),IF(_xlpm.v=0,"",_xlpm.v))</f>
        <v/>
      </c>
      <c r="Z53" s="104" t="str">
        <f>_xlfn.LET(_xlpm.v,IF(ISTEXT(Y53),_xlfn.XLOOKUP(Y53,'JP-PINT'!A:A,'JP-PINT'!B:B),""),IF(ISERROR(_xlpm.v),"",_xlpm.v))</f>
        <v/>
      </c>
      <c r="AA53" s="16"/>
    </row>
    <row r="54" spans="1:27" s="6" customFormat="1" ht="12.75" customHeight="1">
      <c r="A54" s="4">
        <f>IF(ISTEXT(E54),_xlfn.XLOOKUP(E54,'[1]SME09-01_LHM'!$D:$D,'[1]SME09-01_LHM'!$B:$B))</f>
        <v>64</v>
      </c>
      <c r="B54" s="4">
        <f>_xlfn.XLOOKUP(F54,'[1]SME09-01_LHM'!$I:$I,'[1]SME09-01_LHM'!$B:$B)</f>
        <v>64</v>
      </c>
      <c r="C54" s="18">
        <f>ROW()-25</f>
        <v>29</v>
      </c>
      <c r="D54" s="16" t="s">
        <v>1208</v>
      </c>
      <c r="E54" s="16" t="s">
        <v>1887</v>
      </c>
      <c r="F54" s="18" t="s">
        <v>1886</v>
      </c>
      <c r="G54" s="18" t="s">
        <v>1886</v>
      </c>
      <c r="H54" s="16" t="s">
        <v>8</v>
      </c>
      <c r="I54" s="70" t="s">
        <v>143</v>
      </c>
      <c r="J54" s="188" t="s">
        <v>18</v>
      </c>
      <c r="K54" s="181" t="s">
        <v>18</v>
      </c>
      <c r="L54" s="181" t="s">
        <v>18</v>
      </c>
      <c r="M54" s="186"/>
      <c r="N54" s="181"/>
      <c r="O54" s="7"/>
      <c r="P54" s="105" t="s">
        <v>126</v>
      </c>
      <c r="Q54" s="105" t="s">
        <v>1885</v>
      </c>
      <c r="R54" s="105" t="s">
        <v>10</v>
      </c>
      <c r="S54" s="104"/>
      <c r="T54" s="106"/>
      <c r="U54" s="106"/>
      <c r="V54" s="105"/>
      <c r="W54" s="3" t="s">
        <v>10</v>
      </c>
      <c r="X54" s="3" t="s">
        <v>10</v>
      </c>
      <c r="Y54" s="182" t="str">
        <f>_xlfn.LET(_xlpm.v,_xlfn.XLOOKUP(E54,'[1]SME09-01_LHM'!$D:$D,'[1]SME09-01_LHM'!$AL:$AL),IF(_xlpm.v=0,"",_xlpm.v))</f>
        <v/>
      </c>
      <c r="Z54" s="104" t="str">
        <f>_xlfn.LET(_xlpm.v,IF(ISTEXT(Y54),_xlfn.XLOOKUP(Y54,'JP-PINT'!A:A,'JP-PINT'!B:B),""),IF(ISERROR(_xlpm.v),"",_xlpm.v))</f>
        <v/>
      </c>
      <c r="AA54" s="16"/>
    </row>
    <row r="55" spans="1:27" s="6" customFormat="1" ht="12.75" customHeight="1">
      <c r="A55" s="4">
        <f>IF(ISTEXT(E55),_xlfn.XLOOKUP(E55,'[1]SME09-01_LHM'!$D:$D,'[1]SME09-01_LHM'!$B:$B))</f>
        <v>68</v>
      </c>
      <c r="B55" s="4">
        <f>_xlfn.XLOOKUP(F55,'[1]SME09-01_LHM'!$I:$I,'[1]SME09-01_LHM'!$B:$B)</f>
        <v>68</v>
      </c>
      <c r="C55" s="22">
        <f>ROW()-25</f>
        <v>30</v>
      </c>
      <c r="D55" s="29" t="s">
        <v>1138</v>
      </c>
      <c r="E55" s="208" t="s">
        <v>1884</v>
      </c>
      <c r="F55" s="93" t="s">
        <v>2123</v>
      </c>
      <c r="G55" s="28" t="s">
        <v>1883</v>
      </c>
      <c r="H55" s="26" t="s">
        <v>31</v>
      </c>
      <c r="I55" s="26" t="s">
        <v>74</v>
      </c>
      <c r="J55" s="189" t="s">
        <v>79</v>
      </c>
      <c r="K55" s="190" t="s">
        <v>79</v>
      </c>
      <c r="L55" s="190" t="s">
        <v>79</v>
      </c>
      <c r="M55" s="189"/>
      <c r="N55" s="187" t="s">
        <v>34</v>
      </c>
      <c r="O55" s="7"/>
      <c r="P55" s="102" t="s">
        <v>126</v>
      </c>
      <c r="Q55" s="104" t="s">
        <v>1882</v>
      </c>
      <c r="R55" s="105" t="s">
        <v>25</v>
      </c>
      <c r="S55" s="104" t="s">
        <v>24</v>
      </c>
      <c r="T55" s="146" t="s">
        <v>1139</v>
      </c>
      <c r="U55" s="146" t="s">
        <v>24</v>
      </c>
      <c r="V55" s="102" t="s">
        <v>24</v>
      </c>
      <c r="W55" s="3" t="s">
        <v>25</v>
      </c>
      <c r="X55" s="3" t="s">
        <v>25</v>
      </c>
      <c r="Y55" s="182" t="str">
        <f>_xlfn.LET(_xlpm.v,_xlfn.XLOOKUP(E55,'[1]SME09-01_LHM'!$D:$D,'[1]SME09-01_LHM'!$AL:$AL),IF(_xlpm.v=0,"",_xlpm.v))</f>
        <v>IBG-04</v>
      </c>
      <c r="Z55" s="104" t="str">
        <f>_xlfn.LET(_xlpm.v,IF(ISTEXT(Y55),_xlfn.XLOOKUP(Y55,'JP-PINT'!A:A,'JP-PINT'!B:B),""),IF(ISERROR(_xlpm.v),"",_xlpm.v))</f>
        <v>SELLER</v>
      </c>
      <c r="AA55" s="23" t="s">
        <v>31</v>
      </c>
    </row>
    <row r="56" spans="1:27" ht="12.75" customHeight="1">
      <c r="A56" s="4">
        <f>IF(ISTEXT(E56),_xlfn.XLOOKUP(E56,'[1]SME09-01_LHM'!$D:$D,'[1]SME09-01_LHM'!$B:$B))</f>
        <v>70</v>
      </c>
      <c r="B56" s="4">
        <f>_xlfn.XLOOKUP(F56,'[1]SME09-01_LHM'!$I:$I,'[1]SME09-01_LHM'!$B:$B)</f>
        <v>70</v>
      </c>
      <c r="C56" s="22">
        <f>ROW()-25</f>
        <v>31</v>
      </c>
      <c r="D56" s="16" t="s">
        <v>1138</v>
      </c>
      <c r="E56" s="16" t="s">
        <v>1879</v>
      </c>
      <c r="F56" s="18" t="s">
        <v>1878</v>
      </c>
      <c r="G56" s="18" t="s">
        <v>1877</v>
      </c>
      <c r="H56" s="16" t="s">
        <v>8</v>
      </c>
      <c r="I56" s="16" t="s">
        <v>74</v>
      </c>
      <c r="J56" s="188" t="s">
        <v>18</v>
      </c>
      <c r="K56" s="181" t="s">
        <v>18</v>
      </c>
      <c r="L56" s="181" t="s">
        <v>18</v>
      </c>
      <c r="M56" s="186" t="s">
        <v>618</v>
      </c>
      <c r="N56" s="181" t="s">
        <v>46</v>
      </c>
      <c r="P56" s="105" t="s">
        <v>126</v>
      </c>
      <c r="Q56" s="105" t="s">
        <v>1026</v>
      </c>
      <c r="R56" s="105" t="s">
        <v>10</v>
      </c>
      <c r="S56" s="104" t="s">
        <v>24</v>
      </c>
      <c r="T56" s="106" t="s">
        <v>1139</v>
      </c>
      <c r="U56" s="106" t="s">
        <v>24</v>
      </c>
      <c r="V56" s="105" t="s">
        <v>24</v>
      </c>
      <c r="W56" s="3" t="s">
        <v>10</v>
      </c>
      <c r="X56" s="3" t="s">
        <v>10</v>
      </c>
      <c r="Y56" s="182" t="str">
        <f>_xlfn.LET(_xlpm.v,_xlfn.XLOOKUP(E56,'[1]SME09-01_LHM'!$D:$D,'[1]SME09-01_LHM'!$AL:$AL),IF(_xlpm.v=0,"",_xlpm.v))</f>
        <v>IBT-029</v>
      </c>
      <c r="Z56" s="104" t="str">
        <f>_xlfn.LET(_xlpm.v,IF(ISTEXT(Y56),_xlfn.XLOOKUP(Y56,'JP-PINT'!A:A,'JP-PINT'!B:B),""),IF(ISERROR(_xlpm.v),"",_xlpm.v))</f>
        <v>&gt; Seller identifier</v>
      </c>
      <c r="AA56" s="23" t="s">
        <v>43</v>
      </c>
    </row>
    <row r="57" spans="1:27" ht="12.75" customHeight="1">
      <c r="A57" s="4">
        <f>IF(ISTEXT(E57),_xlfn.XLOOKUP(E57,'[1]SME09-01_LHM'!$D:$D,'[1]SME09-01_LHM'!$B:$B))</f>
        <v>71</v>
      </c>
      <c r="B57" s="4">
        <f>_xlfn.XLOOKUP(F57,'[1]SME09-01_LHM'!$I:$I,'[1]SME09-01_LHM'!$B:$B)</f>
        <v>71</v>
      </c>
      <c r="C57" s="22">
        <f>ROW()-25</f>
        <v>32</v>
      </c>
      <c r="D57" s="16" t="s">
        <v>1138</v>
      </c>
      <c r="E57" s="16" t="s">
        <v>1875</v>
      </c>
      <c r="F57" s="18" t="s">
        <v>1874</v>
      </c>
      <c r="G57" s="18" t="s">
        <v>1619</v>
      </c>
      <c r="H57" s="16" t="s">
        <v>8</v>
      </c>
      <c r="I57" s="16" t="s">
        <v>74</v>
      </c>
      <c r="J57" s="188" t="s">
        <v>18</v>
      </c>
      <c r="K57" s="181" t="s">
        <v>18</v>
      </c>
      <c r="L57" s="181" t="s">
        <v>18</v>
      </c>
      <c r="M57" s="186"/>
      <c r="N57" s="181" t="s">
        <v>46</v>
      </c>
      <c r="P57" s="105" t="s">
        <v>126</v>
      </c>
      <c r="Q57" s="105" t="s">
        <v>1022</v>
      </c>
      <c r="R57" s="105" t="s">
        <v>10</v>
      </c>
      <c r="S57" s="104" t="s">
        <v>1021</v>
      </c>
      <c r="T57" s="106" t="s">
        <v>13</v>
      </c>
      <c r="U57" s="106" t="s">
        <v>436</v>
      </c>
      <c r="V57" s="104" t="s">
        <v>1792</v>
      </c>
      <c r="W57" s="3" t="s">
        <v>10</v>
      </c>
      <c r="X57" s="3" t="s">
        <v>10</v>
      </c>
      <c r="Y57" s="182" t="str">
        <f>_xlfn.LET(_xlpm.v,_xlfn.XLOOKUP(E57,'[1]SME09-01_LHM'!$D:$D,'[1]SME09-01_LHM'!$AL:$AL),IF(_xlpm.v=0,"",_xlpm.v))</f>
        <v>IBT-030</v>
      </c>
      <c r="Z57" s="104" t="str">
        <f>_xlfn.LET(_xlpm.v,IF(ISTEXT(Y57),_xlfn.XLOOKUP(Y57,'JP-PINT'!A:A,'JP-PINT'!B:B),""),IF(ISERROR(_xlpm.v),"",_xlpm.v))</f>
        <v>&gt; Seller legal registration identifier</v>
      </c>
      <c r="AA57" s="23" t="s">
        <v>8</v>
      </c>
    </row>
    <row r="58" spans="1:27" ht="12.75" customHeight="1">
      <c r="A58" s="4">
        <f>IF(ISTEXT(E58),_xlfn.XLOOKUP(E58,'[1]SME09-01_LHM'!$D:$D,'[1]SME09-01_LHM'!$B:$B))</f>
        <v>72</v>
      </c>
      <c r="B58" s="4">
        <f>_xlfn.XLOOKUP(F58,'[1]SME09-01_LHM'!$I:$I,'[1]SME09-01_LHM'!$B:$B)</f>
        <v>72</v>
      </c>
      <c r="C58" s="22">
        <f>ROW()-25</f>
        <v>33</v>
      </c>
      <c r="D58" s="16" t="s">
        <v>1138</v>
      </c>
      <c r="E58" s="16" t="s">
        <v>1872</v>
      </c>
      <c r="F58" s="18" t="s">
        <v>1871</v>
      </c>
      <c r="G58" s="18" t="s">
        <v>1870</v>
      </c>
      <c r="H58" s="16" t="s">
        <v>8</v>
      </c>
      <c r="I58" s="16" t="s">
        <v>74</v>
      </c>
      <c r="J58" s="209" t="s">
        <v>80</v>
      </c>
      <c r="K58" s="210" t="s">
        <v>80</v>
      </c>
      <c r="L58" s="210" t="s">
        <v>80</v>
      </c>
      <c r="M58" s="211" t="s">
        <v>618</v>
      </c>
      <c r="N58" s="210" t="s">
        <v>443</v>
      </c>
      <c r="O58" s="7" t="s">
        <v>79</v>
      </c>
      <c r="P58" s="105" t="s">
        <v>126</v>
      </c>
      <c r="Q58" s="105" t="s">
        <v>1016</v>
      </c>
      <c r="R58" s="105" t="s">
        <v>10</v>
      </c>
      <c r="S58" s="104"/>
      <c r="T58" s="103"/>
      <c r="U58" s="103"/>
      <c r="V58" s="105"/>
      <c r="W58" s="3" t="s">
        <v>10</v>
      </c>
      <c r="X58" s="3" t="s">
        <v>10</v>
      </c>
      <c r="Y58" s="182" t="str">
        <f>_xlfn.LET(_xlpm.v,_xlfn.XLOOKUP(E58,'[1]SME09-01_LHM'!$D:$D,'[1]SME09-01_LHM'!$AL:$AL),IF(_xlpm.v=0,"",_xlpm.v))</f>
        <v>IBT-027</v>
      </c>
      <c r="Z58" s="104" t="str">
        <f>_xlfn.LET(_xlpm.v,IF(ISTEXT(Y58),_xlfn.XLOOKUP(Y58,'JP-PINT'!A:A,'JP-PINT'!B:B),""),IF(ISERROR(_xlpm.v),"",_xlpm.v))</f>
        <v>&gt; Seller name</v>
      </c>
      <c r="AA58" s="16" t="s">
        <v>31</v>
      </c>
    </row>
    <row r="59" spans="1:27" s="6" customFormat="1" ht="12.75" customHeight="1">
      <c r="A59" s="4">
        <f>IF(ISTEXT(E59),_xlfn.XLOOKUP(E59,'[1]SME09-01_LHM'!$D:$D,'[1]SME09-01_LHM'!$B:$B))</f>
        <v>100.3</v>
      </c>
      <c r="B59" s="4">
        <f>_xlfn.XLOOKUP(F59,'[1]SME09-01_LHM'!$I:$I,'[1]SME09-01_LHM'!$B:$B)</f>
        <v>100.3</v>
      </c>
      <c r="C59" s="22">
        <f>ROW()-25</f>
        <v>34</v>
      </c>
      <c r="D59" s="212" t="s">
        <v>1138</v>
      </c>
      <c r="E59" s="212" t="s">
        <v>1868</v>
      </c>
      <c r="F59" s="213" t="s">
        <v>1867</v>
      </c>
      <c r="G59" s="213" t="s">
        <v>1866</v>
      </c>
      <c r="H59" s="16" t="s">
        <v>8</v>
      </c>
      <c r="I59" s="212" t="s">
        <v>143</v>
      </c>
      <c r="J59" s="214" t="s">
        <v>80</v>
      </c>
      <c r="K59" s="215" t="s">
        <v>80</v>
      </c>
      <c r="L59" s="215" t="s">
        <v>80</v>
      </c>
      <c r="M59" s="216" t="s">
        <v>618</v>
      </c>
      <c r="N59" s="210" t="s">
        <v>443</v>
      </c>
      <c r="O59" s="7" t="s">
        <v>79</v>
      </c>
      <c r="P59" s="217" t="s">
        <v>126</v>
      </c>
      <c r="Q59" s="217" t="s">
        <v>1677</v>
      </c>
      <c r="R59" s="217" t="s">
        <v>10</v>
      </c>
      <c r="S59" s="218" t="s">
        <v>1021</v>
      </c>
      <c r="T59" s="219" t="s">
        <v>13</v>
      </c>
      <c r="U59" s="103" t="s">
        <v>1865</v>
      </c>
      <c r="V59" s="220" t="s">
        <v>1864</v>
      </c>
      <c r="W59" s="3" t="s">
        <v>10</v>
      </c>
      <c r="X59" s="3" t="s">
        <v>10</v>
      </c>
      <c r="Y59" s="182" t="str">
        <f>_xlfn.LET(_xlpm.v,_xlfn.XLOOKUP(E59,'[1]SME09-01_LHM'!$D:$D,'[1]SME09-01_LHM'!$AL:$AL),IF(_xlpm.v=0,"",_xlpm.v))</f>
        <v>IBT-031</v>
      </c>
      <c r="Z59" s="104" t="str">
        <f>_xlfn.LET(_xlpm.v,IF(ISTEXT(Y59),_xlfn.XLOOKUP(Y59,'JP-PINT'!A:A,'JP-PINT'!B:B),""),IF(ISERROR(_xlpm.v),"",_xlpm.v))</f>
        <v>&gt; Seller TAX identifier</v>
      </c>
      <c r="AA59" s="16" t="s">
        <v>31</v>
      </c>
    </row>
    <row r="60" spans="1:27" s="6" customFormat="1" ht="12.75" customHeight="1">
      <c r="A60" s="4">
        <v>107</v>
      </c>
      <c r="B60" s="4" t="e">
        <f>_xlfn.XLOOKUP(F60,'[1]SME09-01_LHM'!$I:$I,'[1]SME09-01_LHM'!$B:$B)</f>
        <v>#N/A</v>
      </c>
      <c r="C60" s="22">
        <f>ROW()-25</f>
        <v>35</v>
      </c>
      <c r="D60" s="212" t="s">
        <v>1138</v>
      </c>
      <c r="E60" s="212" t="s">
        <v>1862</v>
      </c>
      <c r="F60" s="213" t="s">
        <v>1861</v>
      </c>
      <c r="G60" s="213" t="s">
        <v>1860</v>
      </c>
      <c r="H60" s="16" t="s">
        <v>8</v>
      </c>
      <c r="I60" s="212" t="s">
        <v>19</v>
      </c>
      <c r="J60" s="214" t="s">
        <v>18</v>
      </c>
      <c r="K60" s="215" t="s">
        <v>18</v>
      </c>
      <c r="L60" s="215" t="s">
        <v>18</v>
      </c>
      <c r="M60" s="216"/>
      <c r="N60" s="187" t="s">
        <v>27</v>
      </c>
      <c r="O60" s="7"/>
      <c r="P60" s="217" t="s">
        <v>126</v>
      </c>
      <c r="Q60" s="217" t="s">
        <v>1673</v>
      </c>
      <c r="R60" s="217" t="s">
        <v>10</v>
      </c>
      <c r="S60" s="218" t="s">
        <v>64</v>
      </c>
      <c r="T60" s="219" t="s">
        <v>63</v>
      </c>
      <c r="U60" s="221" t="s">
        <v>24</v>
      </c>
      <c r="V60" s="217" t="s">
        <v>24</v>
      </c>
      <c r="W60" s="3" t="s">
        <v>10</v>
      </c>
      <c r="X60" s="3" t="s">
        <v>10</v>
      </c>
      <c r="Y60" s="182" t="e">
        <f>_xlfn.LET(_xlpm.v,_xlfn.XLOOKUP(E60,'[1]SME09-01_LHM'!$D:$D,'[1]SME09-01_LHM'!$AL:$AL),IF(_xlpm.v=0,"",_xlpm.v))</f>
        <v>#N/A</v>
      </c>
      <c r="Z60" s="104" t="str">
        <f>_xlfn.LET(_xlpm.v,IF(ISTEXT(Y60),_xlfn.XLOOKUP(Y60,'JP-PINT'!A:A,'JP-PINT'!B:B),""),IF(ISERROR(_xlpm.v),"",_xlpm.v))</f>
        <v/>
      </c>
      <c r="AA60" s="187" t="s">
        <v>24</v>
      </c>
    </row>
    <row r="61" spans="1:27" s="6" customFormat="1" ht="12.75" customHeight="1">
      <c r="A61" s="4">
        <f>IF(ISTEXT(E61),_xlfn.XLOOKUP(E61,'[1]SME09-01_LHM'!$D:$D,'[1]SME09-01_LHM'!$B:$B))</f>
        <v>75</v>
      </c>
      <c r="B61" s="4">
        <f>_xlfn.XLOOKUP(F61,'[1]SME09-01_LHM'!$I:$I,'[1]SME09-01_LHM'!$B:$B)</f>
        <v>75</v>
      </c>
      <c r="C61" s="22">
        <f>ROW()-25</f>
        <v>36</v>
      </c>
      <c r="D61" s="26" t="s">
        <v>1138</v>
      </c>
      <c r="E61" s="208" t="s">
        <v>1859</v>
      </c>
      <c r="F61" s="93" t="s">
        <v>2127</v>
      </c>
      <c r="G61" s="25" t="s">
        <v>1497</v>
      </c>
      <c r="H61" s="26" t="s">
        <v>8</v>
      </c>
      <c r="I61" s="26" t="s">
        <v>74</v>
      </c>
      <c r="J61" s="201" t="s">
        <v>18</v>
      </c>
      <c r="K61" s="199" t="s">
        <v>18</v>
      </c>
      <c r="L61" s="199" t="s">
        <v>18</v>
      </c>
      <c r="M61" s="189"/>
      <c r="N61" s="181" t="s">
        <v>46</v>
      </c>
      <c r="O61" s="7"/>
      <c r="P61" s="105" t="s">
        <v>126</v>
      </c>
      <c r="Q61" s="105" t="s">
        <v>1496</v>
      </c>
      <c r="R61" s="105" t="s">
        <v>25</v>
      </c>
      <c r="S61" s="104"/>
      <c r="T61" s="106" t="s">
        <v>1139</v>
      </c>
      <c r="U61" s="106" t="s">
        <v>24</v>
      </c>
      <c r="V61" s="105" t="s">
        <v>24</v>
      </c>
      <c r="W61" s="3" t="s">
        <v>25</v>
      </c>
      <c r="X61" s="3" t="s">
        <v>25</v>
      </c>
      <c r="Y61" s="182" t="str">
        <f>_xlfn.LET(_xlpm.v,_xlfn.XLOOKUP(E61,'[1]SME09-01_LHM'!$D:$D,'[1]SME09-01_LHM'!$AL:$AL),IF(_xlpm.v=0,"",_xlpm.v))</f>
        <v>IBG-06</v>
      </c>
      <c r="Z61" s="104" t="str">
        <f>_xlfn.LET(_xlpm.v,IF(ISTEXT(Y61),_xlfn.XLOOKUP(Y61,'JP-PINT'!A:A,'JP-PINT'!B:B),""),IF(ISERROR(_xlpm.v),"",_xlpm.v))</f>
        <v>&gt; SELLER CONTACT</v>
      </c>
      <c r="AA61" s="16" t="s">
        <v>8</v>
      </c>
    </row>
    <row r="62" spans="1:27" s="6" customFormat="1" ht="12.75" customHeight="1">
      <c r="A62" s="4">
        <f>IF(ISTEXT(E62),_xlfn.XLOOKUP(E62,'[1]SME09-01_LHM'!$D:$D,'[1]SME09-01_LHM'!$B:$B))</f>
        <v>77</v>
      </c>
      <c r="B62" s="4">
        <f>_xlfn.XLOOKUP(F62,'[1]SME09-01_LHM'!$I:$I,'[1]SME09-01_LHM'!$B:$B)</f>
        <v>77</v>
      </c>
      <c r="C62" s="22">
        <f>ROW()-25</f>
        <v>37</v>
      </c>
      <c r="D62" s="16" t="s">
        <v>1138</v>
      </c>
      <c r="E62" s="16" t="s">
        <v>1857</v>
      </c>
      <c r="F62" s="18" t="s">
        <v>1856</v>
      </c>
      <c r="G62" s="18" t="s">
        <v>1855</v>
      </c>
      <c r="H62" s="16" t="s">
        <v>8</v>
      </c>
      <c r="I62" s="16" t="s">
        <v>74</v>
      </c>
      <c r="J62" s="188" t="s">
        <v>18</v>
      </c>
      <c r="K62" s="181" t="s">
        <v>18</v>
      </c>
      <c r="L62" s="181" t="s">
        <v>18</v>
      </c>
      <c r="M62" s="186"/>
      <c r="N62" s="187" t="s">
        <v>27</v>
      </c>
      <c r="O62" s="7"/>
      <c r="P62" s="105" t="s">
        <v>126</v>
      </c>
      <c r="Q62" s="105" t="s">
        <v>1492</v>
      </c>
      <c r="R62" s="105" t="s">
        <v>10</v>
      </c>
      <c r="S62" s="104"/>
      <c r="T62" s="106" t="s">
        <v>1139</v>
      </c>
      <c r="U62" s="106" t="s">
        <v>24</v>
      </c>
      <c r="V62" s="105" t="s">
        <v>24</v>
      </c>
      <c r="W62" s="3" t="s">
        <v>10</v>
      </c>
      <c r="X62" s="3" t="s">
        <v>10</v>
      </c>
      <c r="Y62" s="182" t="str">
        <f>_xlfn.LET(_xlpm.v,_xlfn.XLOOKUP(E62,'[1]SME09-01_LHM'!$D:$D,'[1]SME09-01_LHM'!$AL:$AL),IF(_xlpm.v=0,"",_xlpm.v))</f>
        <v/>
      </c>
      <c r="Z62" s="104" t="str">
        <f>_xlfn.LET(_xlpm.v,IF(ISTEXT(Y62),_xlfn.XLOOKUP(Y62,'JP-PINT'!A:A,'JP-PINT'!B:B),""),IF(ISERROR(_xlpm.v),"",_xlpm.v))</f>
        <v/>
      </c>
      <c r="AA62" s="187" t="s">
        <v>24</v>
      </c>
    </row>
    <row r="63" spans="1:27" ht="12.75" customHeight="1">
      <c r="A63" s="4">
        <f>IF(ISTEXT(E63),_xlfn.XLOOKUP(E63,'[1]SME09-01_LHM'!$D:$D,'[1]SME09-01_LHM'!$B:$B))</f>
        <v>78</v>
      </c>
      <c r="B63" s="4">
        <f>_xlfn.XLOOKUP(F63,'[1]SME09-01_LHM'!$I:$I,'[1]SME09-01_LHM'!$B:$B)</f>
        <v>78</v>
      </c>
      <c r="C63" s="22">
        <f>ROW()-25</f>
        <v>38</v>
      </c>
      <c r="D63" s="16" t="s">
        <v>1138</v>
      </c>
      <c r="E63" s="16" t="s">
        <v>1854</v>
      </c>
      <c r="F63" s="18" t="s">
        <v>1853</v>
      </c>
      <c r="G63" s="17" t="s">
        <v>1852</v>
      </c>
      <c r="H63" s="16" t="s">
        <v>8</v>
      </c>
      <c r="I63" s="16" t="s">
        <v>74</v>
      </c>
      <c r="J63" s="188" t="s">
        <v>18</v>
      </c>
      <c r="K63" s="181" t="s">
        <v>18</v>
      </c>
      <c r="L63" s="181" t="s">
        <v>18</v>
      </c>
      <c r="M63" s="186"/>
      <c r="N63" s="181" t="s">
        <v>1768</v>
      </c>
      <c r="P63" s="105" t="s">
        <v>126</v>
      </c>
      <c r="Q63" s="105" t="s">
        <v>1488</v>
      </c>
      <c r="R63" s="105" t="s">
        <v>10</v>
      </c>
      <c r="S63" s="104"/>
      <c r="T63" s="106"/>
      <c r="U63" s="106" t="s">
        <v>24</v>
      </c>
      <c r="V63" s="105" t="s">
        <v>24</v>
      </c>
      <c r="W63" s="3" t="s">
        <v>10</v>
      </c>
      <c r="X63" s="3" t="s">
        <v>10</v>
      </c>
      <c r="Y63" s="182" t="str">
        <f>_xlfn.LET(_xlpm.v,_xlfn.XLOOKUP(E63,'[1]SME09-01_LHM'!$D:$D,'[1]SME09-01_LHM'!$AL:$AL),IF(_xlpm.v=0,"",_xlpm.v))</f>
        <v>IBT-041</v>
      </c>
      <c r="Z63" s="104" t="str">
        <f>_xlfn.LET(_xlpm.v,IF(ISTEXT(Y63),_xlfn.XLOOKUP(Y63,'JP-PINT'!A:A,'JP-PINT'!B:B),""),IF(ISERROR(_xlpm.v),"",_xlpm.v))</f>
        <v>&gt;&gt; Seller contact point</v>
      </c>
      <c r="AA63" s="23" t="s">
        <v>8</v>
      </c>
    </row>
    <row r="64" spans="1:27" ht="12.75" customHeight="1">
      <c r="A64" s="4">
        <f>IF(ISTEXT(E64),_xlfn.XLOOKUP(E64,'[1]SME09-01_LHM'!$D:$D,'[1]SME09-01_LHM'!$B:$B))</f>
        <v>79</v>
      </c>
      <c r="B64" s="4">
        <f>_xlfn.XLOOKUP(F64,'[1]SME09-01_LHM'!$I:$I,'[1]SME09-01_LHM'!$B:$B)</f>
        <v>79</v>
      </c>
      <c r="C64" s="22">
        <f>ROW()-25</f>
        <v>39</v>
      </c>
      <c r="D64" s="16" t="s">
        <v>1138</v>
      </c>
      <c r="E64" s="16" t="s">
        <v>1851</v>
      </c>
      <c r="F64" s="18" t="s">
        <v>1850</v>
      </c>
      <c r="G64" s="18" t="s">
        <v>1849</v>
      </c>
      <c r="H64" s="16" t="s">
        <v>8</v>
      </c>
      <c r="I64" s="16" t="s">
        <v>74</v>
      </c>
      <c r="J64" s="188" t="s">
        <v>18</v>
      </c>
      <c r="K64" s="181" t="s">
        <v>18</v>
      </c>
      <c r="L64" s="181" t="s">
        <v>18</v>
      </c>
      <c r="M64" s="186"/>
      <c r="N64" s="181" t="s">
        <v>1768</v>
      </c>
      <c r="P64" s="105" t="s">
        <v>126</v>
      </c>
      <c r="Q64" s="105" t="s">
        <v>1484</v>
      </c>
      <c r="R64" s="105" t="s">
        <v>10</v>
      </c>
      <c r="S64" s="104"/>
      <c r="T64" s="103"/>
      <c r="U64" s="103" t="s">
        <v>24</v>
      </c>
      <c r="V64" s="105" t="s">
        <v>24</v>
      </c>
      <c r="W64" s="3" t="s">
        <v>10</v>
      </c>
      <c r="X64" s="3" t="s">
        <v>10</v>
      </c>
      <c r="Y64" s="182" t="str">
        <f>_xlfn.LET(_xlpm.v,_xlfn.XLOOKUP(E64,'[1]SME09-01_LHM'!$D:$D,'[1]SME09-01_LHM'!$AL:$AL),IF(_xlpm.v=0,"",_xlpm.v))</f>
        <v>IBT-041</v>
      </c>
      <c r="Z64" s="104" t="str">
        <f>_xlfn.LET(_xlpm.v,IF(ISTEXT(Y64),_xlfn.XLOOKUP(Y64,'JP-PINT'!A:A,'JP-PINT'!B:B),""),IF(ISERROR(_xlpm.v),"",_xlpm.v))</f>
        <v>&gt;&gt; Seller contact point</v>
      </c>
      <c r="AA64" s="23" t="s">
        <v>8</v>
      </c>
    </row>
    <row r="65" spans="1:27" ht="12.75" customHeight="1">
      <c r="A65" s="4">
        <f>IF(ISTEXT(E65),_xlfn.XLOOKUP(E65,'[1]SME09-01_LHM'!$D:$D,'[1]SME09-01_LHM'!$B:$B))</f>
        <v>80</v>
      </c>
      <c r="B65" s="4">
        <f>_xlfn.XLOOKUP(F65,'[1]SME09-01_LHM'!$I:$I,'[1]SME09-01_LHM'!$B:$B)</f>
        <v>80</v>
      </c>
      <c r="C65" s="22">
        <f>ROW()-25</f>
        <v>40</v>
      </c>
      <c r="D65" s="16" t="s">
        <v>1138</v>
      </c>
      <c r="E65" s="16" t="s">
        <v>1847</v>
      </c>
      <c r="F65" s="18" t="s">
        <v>1846</v>
      </c>
      <c r="G65" s="18" t="s">
        <v>1845</v>
      </c>
      <c r="H65" s="16" t="s">
        <v>8</v>
      </c>
      <c r="I65" s="16" t="s">
        <v>143</v>
      </c>
      <c r="J65" s="188" t="s">
        <v>18</v>
      </c>
      <c r="K65" s="181" t="s">
        <v>18</v>
      </c>
      <c r="L65" s="181" t="s">
        <v>18</v>
      </c>
      <c r="M65" s="186"/>
      <c r="N65" s="187" t="s">
        <v>27</v>
      </c>
      <c r="P65" s="105" t="s">
        <v>126</v>
      </c>
      <c r="Q65" s="105" t="s">
        <v>1480</v>
      </c>
      <c r="R65" s="105" t="s">
        <v>10</v>
      </c>
      <c r="S65" s="104"/>
      <c r="T65" s="103" t="s">
        <v>1139</v>
      </c>
      <c r="U65" s="103" t="s">
        <v>24</v>
      </c>
      <c r="V65" s="105" t="s">
        <v>24</v>
      </c>
      <c r="W65" s="3" t="s">
        <v>10</v>
      </c>
      <c r="X65" s="3" t="s">
        <v>10</v>
      </c>
      <c r="Y65" s="182" t="str">
        <f>_xlfn.LET(_xlpm.v,_xlfn.XLOOKUP(E65,'[1]SME09-01_LHM'!$D:$D,'[1]SME09-01_LHM'!$AL:$AL),IF(_xlpm.v=0,"",_xlpm.v))</f>
        <v/>
      </c>
      <c r="Z65" s="104" t="str">
        <f>_xlfn.LET(_xlpm.v,IF(ISTEXT(Y65),_xlfn.XLOOKUP(Y65,'JP-PINT'!A:A,'JP-PINT'!B:B),""),IF(ISERROR(_xlpm.v),"",_xlpm.v))</f>
        <v/>
      </c>
      <c r="AA65" s="187" t="s">
        <v>24</v>
      </c>
    </row>
    <row r="66" spans="1:27" ht="12.75" customHeight="1">
      <c r="A66" s="4">
        <f>IF(ISTEXT(E66),_xlfn.XLOOKUP(E66,'[1]SME09-01_LHM'!$D:$D,'[1]SME09-01_LHM'!$B:$B))</f>
        <v>83</v>
      </c>
      <c r="B66" s="4">
        <f>_xlfn.XLOOKUP(F66,'[1]SME09-01_LHM'!$I:$I,'[1]SME09-01_LHM'!$B:$B)</f>
        <v>83</v>
      </c>
      <c r="C66" s="22">
        <f>ROW()-25</f>
        <v>41</v>
      </c>
      <c r="D66" s="16" t="s">
        <v>1138</v>
      </c>
      <c r="E66" s="16" t="s">
        <v>1844</v>
      </c>
      <c r="F66" s="18" t="s">
        <v>1843</v>
      </c>
      <c r="G66" s="18" t="s">
        <v>1842</v>
      </c>
      <c r="H66" s="16" t="s">
        <v>8</v>
      </c>
      <c r="I66" s="16" t="s">
        <v>74</v>
      </c>
      <c r="J66" s="188" t="s">
        <v>18</v>
      </c>
      <c r="K66" s="181" t="s">
        <v>18</v>
      </c>
      <c r="L66" s="181" t="s">
        <v>18</v>
      </c>
      <c r="M66" s="186"/>
      <c r="N66" s="181" t="s">
        <v>46</v>
      </c>
      <c r="P66" s="105" t="s">
        <v>126</v>
      </c>
      <c r="Q66" s="104" t="s">
        <v>1473</v>
      </c>
      <c r="R66" s="105" t="s">
        <v>10</v>
      </c>
      <c r="S66" s="104"/>
      <c r="T66" s="103" t="s">
        <v>1139</v>
      </c>
      <c r="U66" s="103" t="s">
        <v>24</v>
      </c>
      <c r="V66" s="105" t="s">
        <v>24</v>
      </c>
      <c r="W66" s="3" t="s">
        <v>10</v>
      </c>
      <c r="X66" s="3" t="s">
        <v>10</v>
      </c>
      <c r="Y66" s="182" t="str">
        <f>_xlfn.LET(_xlpm.v,_xlfn.XLOOKUP(E66,'[1]SME09-01_LHM'!$D:$D,'[1]SME09-01_LHM'!$AL:$AL),IF(_xlpm.v=0,"",_xlpm.v))</f>
        <v>IBT-042</v>
      </c>
      <c r="Z66" s="104" t="str">
        <f>_xlfn.LET(_xlpm.v,IF(ISTEXT(Y66),_xlfn.XLOOKUP(Y66,'JP-PINT'!A:A,'JP-PINT'!B:B),""),IF(ISERROR(_xlpm.v),"",_xlpm.v))</f>
        <v>&gt;&gt; Seller contact telephone number</v>
      </c>
      <c r="AA66" s="23" t="s">
        <v>8</v>
      </c>
    </row>
    <row r="67" spans="1:27" ht="12.75" customHeight="1">
      <c r="A67" s="4">
        <f>IF(ISTEXT(E67),_xlfn.XLOOKUP(E67,'[1]SME09-01_LHM'!$D:$D,'[1]SME09-01_LHM'!$B:$B))</f>
        <v>86</v>
      </c>
      <c r="B67" s="4">
        <f>_xlfn.XLOOKUP(F67,'[1]SME09-01_LHM'!$I:$I,'[1]SME09-01_LHM'!$B:$B)</f>
        <v>86</v>
      </c>
      <c r="C67" s="22">
        <f>ROW()-25</f>
        <v>42</v>
      </c>
      <c r="D67" s="23" t="s">
        <v>1138</v>
      </c>
      <c r="E67" s="16" t="s">
        <v>1840</v>
      </c>
      <c r="F67" s="22" t="s">
        <v>1839</v>
      </c>
      <c r="G67" s="22" t="s">
        <v>1838</v>
      </c>
      <c r="H67" s="16" t="s">
        <v>8</v>
      </c>
      <c r="I67" s="16" t="s">
        <v>74</v>
      </c>
      <c r="J67" s="21" t="s">
        <v>18</v>
      </c>
      <c r="K67" s="16" t="s">
        <v>18</v>
      </c>
      <c r="L67" s="16" t="s">
        <v>18</v>
      </c>
      <c r="M67" s="19"/>
      <c r="N67" s="187" t="s">
        <v>27</v>
      </c>
      <c r="P67" s="102" t="s">
        <v>126</v>
      </c>
      <c r="Q67" s="104" t="s">
        <v>1473</v>
      </c>
      <c r="R67" s="105" t="s">
        <v>10</v>
      </c>
      <c r="S67" s="104"/>
      <c r="T67" s="103" t="s">
        <v>1139</v>
      </c>
      <c r="U67" s="103" t="s">
        <v>24</v>
      </c>
      <c r="V67" s="105" t="s">
        <v>24</v>
      </c>
      <c r="W67" s="3" t="s">
        <v>10</v>
      </c>
      <c r="X67" s="3" t="s">
        <v>10</v>
      </c>
      <c r="Y67" s="182" t="str">
        <f>_xlfn.LET(_xlpm.v,_xlfn.XLOOKUP(E67,'[1]SME09-01_LHM'!$D:$D,'[1]SME09-01_LHM'!$AL:$AL),IF(_xlpm.v=0,"",_xlpm.v))</f>
        <v/>
      </c>
      <c r="Z67" s="104" t="str">
        <f>_xlfn.LET(_xlpm.v,IF(ISTEXT(Y67),_xlfn.XLOOKUP(Y67,'JP-PINT'!A:A,'JP-PINT'!B:B),""),IF(ISERROR(_xlpm.v),"",_xlpm.v))</f>
        <v/>
      </c>
      <c r="AA67" s="187" t="s">
        <v>24</v>
      </c>
    </row>
    <row r="68" spans="1:27" ht="12.75" customHeight="1">
      <c r="A68" s="4">
        <f>IF(ISTEXT(E68),_xlfn.XLOOKUP(E68,'[1]SME09-01_LHM'!$D:$D,'[1]SME09-01_LHM'!$B:$B))</f>
        <v>89</v>
      </c>
      <c r="B68" s="4">
        <f>_xlfn.XLOOKUP(F68,'[1]SME09-01_LHM'!$I:$I,'[1]SME09-01_LHM'!$B:$B)</f>
        <v>89</v>
      </c>
      <c r="C68" s="22">
        <f>ROW()-25</f>
        <v>43</v>
      </c>
      <c r="D68" s="16" t="s">
        <v>1138</v>
      </c>
      <c r="E68" s="16" t="s">
        <v>1837</v>
      </c>
      <c r="F68" s="18" t="s">
        <v>1836</v>
      </c>
      <c r="G68" s="18" t="s">
        <v>1835</v>
      </c>
      <c r="H68" s="16" t="s">
        <v>8</v>
      </c>
      <c r="I68" s="16" t="s">
        <v>74</v>
      </c>
      <c r="J68" s="188" t="s">
        <v>18</v>
      </c>
      <c r="K68" s="181" t="s">
        <v>18</v>
      </c>
      <c r="L68" s="181" t="s">
        <v>18</v>
      </c>
      <c r="M68" s="186"/>
      <c r="N68" s="181" t="s">
        <v>46</v>
      </c>
      <c r="P68" s="105" t="s">
        <v>126</v>
      </c>
      <c r="Q68" s="105" t="s">
        <v>1446</v>
      </c>
      <c r="R68" s="105" t="s">
        <v>10</v>
      </c>
      <c r="S68" s="104"/>
      <c r="T68" s="103" t="s">
        <v>1139</v>
      </c>
      <c r="U68" s="103" t="s">
        <v>24</v>
      </c>
      <c r="V68" s="105" t="s">
        <v>24</v>
      </c>
      <c r="W68" s="3" t="s">
        <v>10</v>
      </c>
      <c r="X68" s="3" t="s">
        <v>10</v>
      </c>
      <c r="Y68" s="182" t="str">
        <f>_xlfn.LET(_xlpm.v,_xlfn.XLOOKUP(E68,'[1]SME09-01_LHM'!$D:$D,'[1]SME09-01_LHM'!$AL:$AL),IF(_xlpm.v=0,"",_xlpm.v))</f>
        <v>IBT-043</v>
      </c>
      <c r="Z68" s="104" t="str">
        <f>_xlfn.LET(_xlpm.v,IF(ISTEXT(Y68),_xlfn.XLOOKUP(Y68,'JP-PINT'!A:A,'JP-PINT'!B:B),""),IF(ISERROR(_xlpm.v),"",_xlpm.v))</f>
        <v>&gt;&gt; Seller contact email address</v>
      </c>
      <c r="AA68" s="23" t="s">
        <v>8</v>
      </c>
    </row>
    <row r="69" spans="1:27" ht="12.75" customHeight="1">
      <c r="A69" s="4">
        <f>IF(ISTEXT(E69),_xlfn.XLOOKUP(E69,'[1]SME09-01_LHM'!$D:$D,'[1]SME09-01_LHM'!$B:$B))</f>
        <v>90</v>
      </c>
      <c r="B69" s="4">
        <f>_xlfn.XLOOKUP(F69,'[1]SME09-01_LHM'!$I:$I,'[1]SME09-01_LHM'!$B:$B)</f>
        <v>90</v>
      </c>
      <c r="C69" s="22">
        <f>ROW()-25</f>
        <v>44</v>
      </c>
      <c r="D69" s="26" t="s">
        <v>1138</v>
      </c>
      <c r="E69" s="208" t="s">
        <v>1833</v>
      </c>
      <c r="F69" s="93" t="s">
        <v>2128</v>
      </c>
      <c r="G69" s="25" t="s">
        <v>1832</v>
      </c>
      <c r="H69" s="26" t="s">
        <v>8</v>
      </c>
      <c r="I69" s="26" t="s">
        <v>74</v>
      </c>
      <c r="J69" s="201" t="s">
        <v>66</v>
      </c>
      <c r="K69" s="199" t="s">
        <v>66</v>
      </c>
      <c r="L69" s="199" t="s">
        <v>66</v>
      </c>
      <c r="M69" s="189"/>
      <c r="N69" s="181" t="s">
        <v>34</v>
      </c>
      <c r="P69" s="105" t="s">
        <v>126</v>
      </c>
      <c r="Q69" s="105" t="s">
        <v>1012</v>
      </c>
      <c r="R69" s="105" t="s">
        <v>25</v>
      </c>
      <c r="S69" s="104"/>
      <c r="T69" s="106" t="s">
        <v>1139</v>
      </c>
      <c r="U69" s="106" t="s">
        <v>24</v>
      </c>
      <c r="V69" s="105" t="s">
        <v>24</v>
      </c>
      <c r="W69" s="3" t="s">
        <v>25</v>
      </c>
      <c r="X69" s="3" t="s">
        <v>25</v>
      </c>
      <c r="Y69" s="182" t="str">
        <f>_xlfn.LET(_xlpm.v,_xlfn.XLOOKUP(E69,'[1]SME09-01_LHM'!$D:$D,'[1]SME09-01_LHM'!$AL:$AL),IF(_xlpm.v=0,"",_xlpm.v))</f>
        <v>IBG-05</v>
      </c>
      <c r="Z69" s="104" t="str">
        <f>_xlfn.LET(_xlpm.v,IF(ISTEXT(Y69),_xlfn.XLOOKUP(Y69,'JP-PINT'!A:A,'JP-PINT'!B:B),""),IF(ISERROR(_xlpm.v),"",_xlpm.v))</f>
        <v>&gt; SELLER POSTAL ADDRESS</v>
      </c>
      <c r="AA69" s="23" t="s">
        <v>31</v>
      </c>
    </row>
    <row r="70" spans="1:27" s="137" customFormat="1" ht="12.75" customHeight="1">
      <c r="A70" s="4">
        <f>IF(ISTEXT(E70),_xlfn.XLOOKUP(E70,'[1]SME09-01_LHM'!$D:$D,'[1]SME09-01_LHM'!$B:$B))</f>
        <v>92</v>
      </c>
      <c r="B70" s="4">
        <f>_xlfn.XLOOKUP(F70,'[1]SME09-01_LHM'!$I:$I,'[1]SME09-01_LHM'!$B:$B)</f>
        <v>92</v>
      </c>
      <c r="C70" s="102">
        <f>ROW()-25</f>
        <v>45</v>
      </c>
      <c r="D70" s="103" t="s">
        <v>1138</v>
      </c>
      <c r="E70" s="103" t="s">
        <v>1830</v>
      </c>
      <c r="F70" s="105" t="s">
        <v>1829</v>
      </c>
      <c r="G70" s="105" t="s">
        <v>1828</v>
      </c>
      <c r="H70" s="103" t="s">
        <v>8</v>
      </c>
      <c r="I70" s="103" t="s">
        <v>74</v>
      </c>
      <c r="J70" s="222" t="s">
        <v>18</v>
      </c>
      <c r="K70" s="223" t="s">
        <v>18</v>
      </c>
      <c r="L70" s="223" t="s">
        <v>18</v>
      </c>
      <c r="M70" s="193"/>
      <c r="N70" s="223" t="s">
        <v>72</v>
      </c>
      <c r="O70" s="136"/>
      <c r="P70" s="105" t="s">
        <v>126</v>
      </c>
      <c r="Q70" s="105" t="s">
        <v>1007</v>
      </c>
      <c r="R70" s="105" t="s">
        <v>10</v>
      </c>
      <c r="S70" s="104" t="s">
        <v>24</v>
      </c>
      <c r="T70" s="106" t="s">
        <v>24</v>
      </c>
      <c r="U70" s="106" t="s">
        <v>24</v>
      </c>
      <c r="V70" s="105" t="s">
        <v>24</v>
      </c>
      <c r="W70" s="107" t="s">
        <v>10</v>
      </c>
      <c r="X70" s="107" t="s">
        <v>10</v>
      </c>
      <c r="Y70" s="192" t="str">
        <f>_xlfn.LET(_xlpm.v,_xlfn.XLOOKUP(E70,'[1]SME09-01_LHM'!$D:$D,'[1]SME09-01_LHM'!$AL:$AL),IF(_xlpm.v=0,"",_xlpm.v))</f>
        <v>IBT-038</v>
      </c>
      <c r="Z70" s="104" t="str">
        <f>_xlfn.LET(_xlpm.v,IF(ISTEXT(Y70),_xlfn.XLOOKUP(Y70,'JP-PINT'!A:A,'JP-PINT'!B:B),""),IF(ISERROR(_xlpm.v),"",_xlpm.v))</f>
        <v>&gt;&gt; Seller post code</v>
      </c>
      <c r="AA70" s="103" t="s">
        <v>8</v>
      </c>
    </row>
    <row r="71" spans="1:27" s="134" customFormat="1" ht="12.75" customHeight="1">
      <c r="A71" s="4">
        <f>IF(ISTEXT(E71),_xlfn.XLOOKUP(E71,'[1]SME09-01_LHM'!$D:$D,'[1]SME09-01_LHM'!$B:$B))</f>
        <v>93</v>
      </c>
      <c r="B71" s="4">
        <f>_xlfn.XLOOKUP(F71,'[1]SME09-01_LHM'!$I:$I,'[1]SME09-01_LHM'!$B:$B)</f>
        <v>93</v>
      </c>
      <c r="C71" s="102">
        <f>ROW()-25</f>
        <v>46</v>
      </c>
      <c r="D71" s="103" t="s">
        <v>1138</v>
      </c>
      <c r="E71" s="103" t="s">
        <v>1826</v>
      </c>
      <c r="F71" s="105" t="s">
        <v>1825</v>
      </c>
      <c r="G71" s="105" t="s">
        <v>1824</v>
      </c>
      <c r="H71" s="103" t="s">
        <v>8</v>
      </c>
      <c r="I71" s="103" t="s">
        <v>74</v>
      </c>
      <c r="J71" s="222" t="s">
        <v>18</v>
      </c>
      <c r="K71" s="223" t="s">
        <v>18</v>
      </c>
      <c r="L71" s="223" t="s">
        <v>18</v>
      </c>
      <c r="M71" s="193"/>
      <c r="N71" s="223" t="s">
        <v>72</v>
      </c>
      <c r="O71" s="136"/>
      <c r="P71" s="105" t="s">
        <v>126</v>
      </c>
      <c r="Q71" s="105" t="s">
        <v>1002</v>
      </c>
      <c r="R71" s="105" t="s">
        <v>10</v>
      </c>
      <c r="S71" s="104"/>
      <c r="T71" s="106"/>
      <c r="U71" s="106" t="s">
        <v>24</v>
      </c>
      <c r="V71" s="105" t="s">
        <v>24</v>
      </c>
      <c r="W71" s="107" t="s">
        <v>10</v>
      </c>
      <c r="X71" s="107" t="s">
        <v>10</v>
      </c>
      <c r="Y71" s="192" t="str">
        <f>_xlfn.LET(_xlpm.v,_xlfn.XLOOKUP(E71,'[1]SME09-01_LHM'!$D:$D,'[1]SME09-01_LHM'!$AL:$AL),IF(_xlpm.v=0,"",_xlpm.v))</f>
        <v>IBT-035</v>
      </c>
      <c r="Z71" s="104" t="str">
        <f>_xlfn.LET(_xlpm.v,IF(ISTEXT(Y71),_xlfn.XLOOKUP(Y71,'JP-PINT'!A:A,'JP-PINT'!B:B),""),IF(ISERROR(_xlpm.v),"",_xlpm.v))</f>
        <v>&gt;&gt; Seller address line 1</v>
      </c>
      <c r="AA71" s="103" t="s">
        <v>8</v>
      </c>
    </row>
    <row r="72" spans="1:27" s="134" customFormat="1" ht="12.75" customHeight="1">
      <c r="A72" s="4">
        <f>IF(ISTEXT(E72),_xlfn.XLOOKUP(E72,'[1]SME09-01_LHM'!$D:$D,'[1]SME09-01_LHM'!$B:$B))</f>
        <v>94</v>
      </c>
      <c r="B72" s="4">
        <f>_xlfn.XLOOKUP(F72,'[1]SME09-01_LHM'!$I:$I,'[1]SME09-01_LHM'!$B:$B)</f>
        <v>94</v>
      </c>
      <c r="C72" s="102">
        <f>ROW()-25</f>
        <v>47</v>
      </c>
      <c r="D72" s="103" t="s">
        <v>1138</v>
      </c>
      <c r="E72" s="103" t="s">
        <v>1822</v>
      </c>
      <c r="F72" s="105" t="s">
        <v>1821</v>
      </c>
      <c r="G72" s="105" t="s">
        <v>1820</v>
      </c>
      <c r="H72" s="103" t="s">
        <v>8</v>
      </c>
      <c r="I72" s="103" t="s">
        <v>143</v>
      </c>
      <c r="J72" s="222" t="s">
        <v>18</v>
      </c>
      <c r="K72" s="223" t="s">
        <v>18</v>
      </c>
      <c r="L72" s="224"/>
      <c r="M72" s="193"/>
      <c r="N72" s="223" t="s">
        <v>72</v>
      </c>
      <c r="O72" s="136"/>
      <c r="P72" s="105" t="s">
        <v>126</v>
      </c>
      <c r="Q72" s="105" t="s">
        <v>997</v>
      </c>
      <c r="R72" s="105" t="s">
        <v>10</v>
      </c>
      <c r="S72" s="104"/>
      <c r="T72" s="106"/>
      <c r="U72" s="106" t="s">
        <v>24</v>
      </c>
      <c r="V72" s="105" t="s">
        <v>24</v>
      </c>
      <c r="W72" s="107" t="s">
        <v>10</v>
      </c>
      <c r="X72" s="107"/>
      <c r="Y72" s="192" t="str">
        <f>_xlfn.LET(_xlpm.v,_xlfn.XLOOKUP(E72,'[1]SME09-01_LHM'!$D:$D,'[1]SME09-01_LHM'!$AL:$AL),IF(_xlpm.v=0,"",_xlpm.v))</f>
        <v>IBT-036</v>
      </c>
      <c r="Z72" s="104" t="str">
        <f>_xlfn.LET(_xlpm.v,IF(ISTEXT(Y72),_xlfn.XLOOKUP(Y72,'JP-PINT'!A:A,'JP-PINT'!B:B),""),IF(ISERROR(_xlpm.v),"",_xlpm.v))</f>
        <v>&gt;&gt; Seller address line 2</v>
      </c>
      <c r="AA72" s="103" t="s">
        <v>8</v>
      </c>
    </row>
    <row r="73" spans="1:27" s="134" customFormat="1" ht="12.75" customHeight="1">
      <c r="A73" s="4">
        <f>IF(ISTEXT(E73),_xlfn.XLOOKUP(E73,'[1]SME09-01_LHM'!$D:$D,'[1]SME09-01_LHM'!$B:$B))</f>
        <v>95</v>
      </c>
      <c r="B73" s="4">
        <f>_xlfn.XLOOKUP(F73,'[1]SME09-01_LHM'!$I:$I,'[1]SME09-01_LHM'!$B:$B)</f>
        <v>95</v>
      </c>
      <c r="C73" s="102">
        <f>ROW()-25</f>
        <v>48</v>
      </c>
      <c r="D73" s="103" t="s">
        <v>1138</v>
      </c>
      <c r="E73" s="103" t="s">
        <v>1818</v>
      </c>
      <c r="F73" s="105" t="s">
        <v>1817</v>
      </c>
      <c r="G73" s="105" t="s">
        <v>1816</v>
      </c>
      <c r="H73" s="103" t="s">
        <v>8</v>
      </c>
      <c r="I73" s="103" t="s">
        <v>143</v>
      </c>
      <c r="J73" s="222" t="s">
        <v>18</v>
      </c>
      <c r="K73" s="223" t="s">
        <v>18</v>
      </c>
      <c r="L73" s="224"/>
      <c r="M73" s="193"/>
      <c r="N73" s="223" t="s">
        <v>72</v>
      </c>
      <c r="O73" s="136"/>
      <c r="P73" s="105" t="s">
        <v>126</v>
      </c>
      <c r="Q73" s="105" t="s">
        <v>992</v>
      </c>
      <c r="R73" s="105" t="s">
        <v>10</v>
      </c>
      <c r="S73" s="104"/>
      <c r="T73" s="106"/>
      <c r="U73" s="106" t="s">
        <v>24</v>
      </c>
      <c r="V73" s="105" t="s">
        <v>24</v>
      </c>
      <c r="W73" s="107" t="s">
        <v>10</v>
      </c>
      <c r="X73" s="107"/>
      <c r="Y73" s="192" t="str">
        <f>_xlfn.LET(_xlpm.v,_xlfn.XLOOKUP(E73,'[1]SME09-01_LHM'!$D:$D,'[1]SME09-01_LHM'!$AL:$AL),IF(_xlpm.v=0,"",_xlpm.v))</f>
        <v>IBT-162</v>
      </c>
      <c r="Z73" s="104" t="str">
        <f>_xlfn.LET(_xlpm.v,IF(ISTEXT(Y73),_xlfn.XLOOKUP(Y73,'JP-PINT'!A:A,'JP-PINT'!B:B),""),IF(ISERROR(_xlpm.v),"",_xlpm.v))</f>
        <v>&gt;&gt; Seller address line 3</v>
      </c>
      <c r="AA73" s="138" t="s">
        <v>8</v>
      </c>
    </row>
    <row r="74" spans="1:27" s="137" customFormat="1" ht="12.75" customHeight="1">
      <c r="A74" s="4">
        <f>IF(ISTEXT(E74),_xlfn.XLOOKUP(E74,'[1]SME09-01_LHM'!$D:$D,'[1]SME09-01_LHM'!$B:$B))</f>
        <v>96</v>
      </c>
      <c r="B74" s="4">
        <f>_xlfn.XLOOKUP(F74,'[1]SME09-01_LHM'!$I:$I,'[1]SME09-01_LHM'!$B:$B)</f>
        <v>96</v>
      </c>
      <c r="C74" s="102">
        <f>ROW()-25</f>
        <v>49</v>
      </c>
      <c r="D74" s="103" t="s">
        <v>1138</v>
      </c>
      <c r="E74" s="103" t="s">
        <v>1814</v>
      </c>
      <c r="F74" s="105" t="s">
        <v>1813</v>
      </c>
      <c r="G74" s="105" t="s">
        <v>1812</v>
      </c>
      <c r="H74" s="103" t="s">
        <v>31</v>
      </c>
      <c r="I74" s="103" t="s">
        <v>143</v>
      </c>
      <c r="J74" s="222" t="s">
        <v>66</v>
      </c>
      <c r="K74" s="223" t="s">
        <v>66</v>
      </c>
      <c r="L74" s="224"/>
      <c r="M74" s="193"/>
      <c r="N74" s="223" t="s">
        <v>34</v>
      </c>
      <c r="O74" s="225"/>
      <c r="P74" s="105" t="s">
        <v>126</v>
      </c>
      <c r="Q74" s="105" t="s">
        <v>987</v>
      </c>
      <c r="R74" s="105" t="s">
        <v>10</v>
      </c>
      <c r="S74" s="104" t="s">
        <v>14</v>
      </c>
      <c r="T74" s="106" t="s">
        <v>13</v>
      </c>
      <c r="U74" s="106" t="s">
        <v>12</v>
      </c>
      <c r="V74" s="105" t="s">
        <v>11</v>
      </c>
      <c r="W74" s="226" t="s">
        <v>10</v>
      </c>
      <c r="X74" s="226"/>
      <c r="Y74" s="192" t="str">
        <f>_xlfn.LET(_xlpm.v,_xlfn.XLOOKUP(E74,'[1]SME09-01_LHM'!$D:$D,'[1]SME09-01_LHM'!$AL:$AL),IF(_xlpm.v=0,"",_xlpm.v))</f>
        <v>IBT-040</v>
      </c>
      <c r="Z74" s="104" t="str">
        <f>_xlfn.LET(_xlpm.v,IF(ISTEXT(Y74),_xlfn.XLOOKUP(Y74,'JP-PINT'!A:A,'JP-PINT'!B:B),""),IF(ISERROR(_xlpm.v),"",_xlpm.v))</f>
        <v>&gt;&gt; Seller country code</v>
      </c>
      <c r="AA74" s="227" t="s">
        <v>31</v>
      </c>
    </row>
    <row r="75" spans="1:27" s="228" customFormat="1" ht="12.75" customHeight="1">
      <c r="A75" s="4">
        <f>IF(ISTEXT(E75),_xlfn.XLOOKUP(E75,'[1]SME09-01_LHM'!$D:$D,'[1]SME09-01_LHM'!$B:$B))</f>
        <v>97</v>
      </c>
      <c r="B75" s="4">
        <f>_xlfn.XLOOKUP(F75,'[1]SME09-01_LHM'!$I:$I,'[1]SME09-01_LHM'!$B:$B)</f>
        <v>97</v>
      </c>
      <c r="C75" s="102">
        <f>ROW()-25</f>
        <v>50</v>
      </c>
      <c r="D75" s="103" t="s">
        <v>1138</v>
      </c>
      <c r="E75" s="103" t="s">
        <v>1810</v>
      </c>
      <c r="F75" s="93" t="s">
        <v>2155</v>
      </c>
      <c r="G75" s="105" t="s">
        <v>1809</v>
      </c>
      <c r="H75" s="103" t="s">
        <v>8</v>
      </c>
      <c r="I75" s="103" t="s">
        <v>19</v>
      </c>
      <c r="J75" s="222" t="s">
        <v>66</v>
      </c>
      <c r="K75" s="223" t="s">
        <v>66</v>
      </c>
      <c r="L75" s="223" t="s">
        <v>66</v>
      </c>
      <c r="M75" s="193"/>
      <c r="N75" s="229" t="s">
        <v>24</v>
      </c>
      <c r="O75" s="225"/>
      <c r="P75" s="105" t="s">
        <v>126</v>
      </c>
      <c r="Q75" s="105" t="s">
        <v>1450</v>
      </c>
      <c r="R75" s="105" t="s">
        <v>25</v>
      </c>
      <c r="S75" s="104" t="s">
        <v>24</v>
      </c>
      <c r="T75" s="106" t="s">
        <v>24</v>
      </c>
      <c r="U75" s="106" t="s">
        <v>24</v>
      </c>
      <c r="V75" s="104" t="s">
        <v>24</v>
      </c>
      <c r="W75" s="226" t="s">
        <v>25</v>
      </c>
      <c r="X75" s="226" t="s">
        <v>25</v>
      </c>
      <c r="Y75" s="192" t="str">
        <f>_xlfn.LET(_xlpm.v,_xlfn.XLOOKUP(E75,'[1]SME09-01_LHM'!$D:$D,'[1]SME09-01_LHM'!$AL:$AL),IF(_xlpm.v=0,"",_xlpm.v))</f>
        <v/>
      </c>
      <c r="Z75" s="104" t="str">
        <f>_xlfn.LET(_xlpm.v,IF(ISTEXT(Y75),_xlfn.XLOOKUP(Y75,'JP-PINT'!A:A,'JP-PINT'!B:B),""),IF(ISERROR(_xlpm.v),"",_xlpm.v))</f>
        <v/>
      </c>
      <c r="AA75" s="191" t="s">
        <v>24</v>
      </c>
    </row>
    <row r="76" spans="1:27" s="228" customFormat="1" ht="12.75" customHeight="1">
      <c r="A76" s="4">
        <f>IF(ISTEXT(E76),_xlfn.XLOOKUP(E76,'[1]SME09-01_LHM'!$D:$D,'[1]SME09-01_LHM'!$B:$B))</f>
        <v>99</v>
      </c>
      <c r="B76" s="4">
        <f>_xlfn.XLOOKUP(F76,'[1]SME09-01_LHM'!$I:$I,'[1]SME09-01_LHM'!$B:$B)</f>
        <v>99</v>
      </c>
      <c r="C76" s="102">
        <f>ROW()-25</f>
        <v>51</v>
      </c>
      <c r="D76" s="103" t="s">
        <v>1138</v>
      </c>
      <c r="E76" s="103" t="s">
        <v>1808</v>
      </c>
      <c r="F76" s="105" t="s">
        <v>2124</v>
      </c>
      <c r="G76" s="148" t="s">
        <v>1807</v>
      </c>
      <c r="H76" s="103" t="s">
        <v>8</v>
      </c>
      <c r="I76" s="153" t="s">
        <v>127</v>
      </c>
      <c r="J76" s="230" t="s">
        <v>66</v>
      </c>
      <c r="K76" s="231" t="s">
        <v>66</v>
      </c>
      <c r="L76" s="231" t="s">
        <v>66</v>
      </c>
      <c r="M76" s="193" t="s">
        <v>73</v>
      </c>
      <c r="N76" s="223" t="s">
        <v>443</v>
      </c>
      <c r="O76" s="225" t="s">
        <v>79</v>
      </c>
      <c r="P76" s="105" t="s">
        <v>126</v>
      </c>
      <c r="Q76" s="105" t="s">
        <v>1446</v>
      </c>
      <c r="R76" s="105" t="s">
        <v>10</v>
      </c>
      <c r="S76" s="104" t="s">
        <v>1021</v>
      </c>
      <c r="T76" s="106" t="s">
        <v>13</v>
      </c>
      <c r="U76" s="106" t="s">
        <v>1445</v>
      </c>
      <c r="V76" s="150" t="s">
        <v>1444</v>
      </c>
      <c r="W76" s="226" t="s">
        <v>10</v>
      </c>
      <c r="X76" s="226" t="s">
        <v>10</v>
      </c>
      <c r="Y76" s="192" t="str">
        <f>_xlfn.LET(_xlpm.v,_xlfn.XLOOKUP(E76,'[1]SME09-01_LHM'!$D:$D,'[1]SME09-01_LHM'!$AL:$AL),IF(_xlpm.v=0,"",_xlpm.v))</f>
        <v>IBT-034</v>
      </c>
      <c r="Z76" s="104" t="str">
        <f>_xlfn.LET(_xlpm.v,IF(ISTEXT(Y76),_xlfn.XLOOKUP(Y76,'JP-PINT'!A:A,'JP-PINT'!B:B),""),IF(ISERROR(_xlpm.v),"",_xlpm.v))</f>
        <v>&gt; Seller electronic address</v>
      </c>
      <c r="AA76" s="227" t="s">
        <v>31</v>
      </c>
    </row>
    <row r="77" spans="1:27" s="228" customFormat="1" ht="12.75" customHeight="1">
      <c r="A77" s="4">
        <f>IF(ISTEXT(E77),_xlfn.XLOOKUP(E77,'[1]SME09-01_LHM'!$D:$D,'[1]SME09-01_LHM'!$B:$B))</f>
        <v>100</v>
      </c>
      <c r="B77" s="4">
        <f>_xlfn.XLOOKUP(F77,'[1]SME09-01_LHM'!$I:$I,'[1]SME09-01_LHM'!$B:$B)</f>
        <v>100</v>
      </c>
      <c r="C77" s="102">
        <f>ROW()-25</f>
        <v>52</v>
      </c>
      <c r="D77" s="103" t="s">
        <v>1138</v>
      </c>
      <c r="E77" s="103" t="s">
        <v>1805</v>
      </c>
      <c r="F77" s="93" t="s">
        <v>2138</v>
      </c>
      <c r="G77" s="148" t="s">
        <v>1442</v>
      </c>
      <c r="H77" s="103"/>
      <c r="I77" s="153" t="s">
        <v>127</v>
      </c>
      <c r="J77" s="230" t="s">
        <v>66</v>
      </c>
      <c r="K77" s="231" t="s">
        <v>66</v>
      </c>
      <c r="L77" s="231" t="s">
        <v>66</v>
      </c>
      <c r="M77" s="193" t="s">
        <v>73</v>
      </c>
      <c r="N77" s="223" t="s">
        <v>443</v>
      </c>
      <c r="O77" s="225" t="s">
        <v>79</v>
      </c>
      <c r="P77" s="105" t="s">
        <v>126</v>
      </c>
      <c r="Q77" s="105"/>
      <c r="R77" s="105" t="s">
        <v>430</v>
      </c>
      <c r="S77" s="104"/>
      <c r="T77" s="106" t="s">
        <v>103</v>
      </c>
      <c r="U77" s="106" t="s">
        <v>24</v>
      </c>
      <c r="V77" s="104"/>
      <c r="W77" s="226" t="s">
        <v>429</v>
      </c>
      <c r="X77" s="226" t="s">
        <v>429</v>
      </c>
      <c r="Y77" s="192" t="str">
        <f>_xlfn.LET(_xlpm.v,_xlfn.XLOOKUP(E77,'[1]SME09-01_LHM'!$D:$D,'[1]SME09-01_LHM'!$AL:$AL),IF(_xlpm.v=0,"",_xlpm.v))</f>
        <v>IBT-034-1</v>
      </c>
      <c r="Z77" s="104" t="str">
        <f>_xlfn.LET(_xlpm.v,IF(ISTEXT(Y77),_xlfn.XLOOKUP(Y77,'JP-PINT'!A:A,'JP-PINT'!B:B),""),IF(ISERROR(_xlpm.v),"",_xlpm.v))</f>
        <v>&gt;&gt;Scheme identifier</v>
      </c>
      <c r="AA77" s="227" t="s">
        <v>31</v>
      </c>
    </row>
    <row r="78" spans="1:27" s="228" customFormat="1" ht="12.75" customHeight="1">
      <c r="A78" s="4">
        <f>IF(ISTEXT(E78),_xlfn.XLOOKUP(E78,'[1]SME09-01_LHM'!$D:$D,'[1]SME09-01_LHM'!$B:$B))</f>
        <v>101</v>
      </c>
      <c r="B78" s="4">
        <f>_xlfn.XLOOKUP(F78,'[1]SME09-01_LHM'!$I:$I,'[1]SME09-01_LHM'!$B:$B)</f>
        <v>101</v>
      </c>
      <c r="C78" s="102">
        <f>ROW()-25</f>
        <v>53</v>
      </c>
      <c r="D78" s="103" t="s">
        <v>1138</v>
      </c>
      <c r="E78" s="103" t="s">
        <v>1803</v>
      </c>
      <c r="F78" s="93" t="s">
        <v>2125</v>
      </c>
      <c r="G78" s="105" t="s">
        <v>1802</v>
      </c>
      <c r="H78" s="103" t="s">
        <v>31</v>
      </c>
      <c r="I78" s="103" t="s">
        <v>74</v>
      </c>
      <c r="J78" s="222" t="s">
        <v>79</v>
      </c>
      <c r="K78" s="223" t="s">
        <v>79</v>
      </c>
      <c r="L78" s="223" t="s">
        <v>79</v>
      </c>
      <c r="M78" s="193"/>
      <c r="N78" s="223" t="s">
        <v>443</v>
      </c>
      <c r="O78" s="136"/>
      <c r="P78" s="105" t="s">
        <v>126</v>
      </c>
      <c r="Q78" s="105" t="s">
        <v>1801</v>
      </c>
      <c r="R78" s="105" t="s">
        <v>25</v>
      </c>
      <c r="S78" s="104" t="s">
        <v>24</v>
      </c>
      <c r="T78" s="106" t="s">
        <v>24</v>
      </c>
      <c r="U78" s="106" t="s">
        <v>24</v>
      </c>
      <c r="V78" s="105" t="s">
        <v>24</v>
      </c>
      <c r="W78" s="107" t="s">
        <v>25</v>
      </c>
      <c r="X78" s="107" t="s">
        <v>25</v>
      </c>
      <c r="Y78" s="192" t="str">
        <f>_xlfn.LET(_xlpm.v,_xlfn.XLOOKUP(E78,'[1]SME09-01_LHM'!$D:$D,'[1]SME09-01_LHM'!$AL:$AL),IF(_xlpm.v=0,"",_xlpm.v))</f>
        <v>IBG-07</v>
      </c>
      <c r="Z78" s="104" t="str">
        <f>_xlfn.LET(_xlpm.v,IF(ISTEXT(Y78),_xlfn.XLOOKUP(Y78,'JP-PINT'!A:A,'JP-PINT'!B:B),""),IF(ISERROR(_xlpm.v),"",_xlpm.v))</f>
        <v>BUYER</v>
      </c>
      <c r="AA78" s="138" t="s">
        <v>31</v>
      </c>
    </row>
    <row r="79" spans="1:27" s="137" customFormat="1" ht="12.75" customHeight="1">
      <c r="A79" s="4">
        <f>IF(ISTEXT(E79),_xlfn.XLOOKUP(E79,'[1]SME09-01_LHM'!$D:$D,'[1]SME09-01_LHM'!$B:$B))</f>
        <v>103</v>
      </c>
      <c r="B79" s="4">
        <f>_xlfn.XLOOKUP(F79,'[1]SME09-01_LHM'!$I:$I,'[1]SME09-01_LHM'!$B:$B)</f>
        <v>103</v>
      </c>
      <c r="C79" s="102">
        <f>ROW()-25</f>
        <v>54</v>
      </c>
      <c r="D79" s="103" t="s">
        <v>1138</v>
      </c>
      <c r="E79" s="103" t="s">
        <v>1798</v>
      </c>
      <c r="F79" s="105" t="s">
        <v>1797</v>
      </c>
      <c r="G79" s="105" t="s">
        <v>1796</v>
      </c>
      <c r="H79" s="103" t="s">
        <v>8</v>
      </c>
      <c r="I79" s="103" t="s">
        <v>74</v>
      </c>
      <c r="J79" s="222" t="s">
        <v>18</v>
      </c>
      <c r="K79" s="223" t="s">
        <v>18</v>
      </c>
      <c r="L79" s="223" t="s">
        <v>18</v>
      </c>
      <c r="M79" s="193" t="s">
        <v>618</v>
      </c>
      <c r="N79" s="223" t="s">
        <v>46</v>
      </c>
      <c r="O79" s="136"/>
      <c r="P79" s="105" t="s">
        <v>126</v>
      </c>
      <c r="Q79" s="105" t="s">
        <v>1026</v>
      </c>
      <c r="R79" s="105" t="s">
        <v>10</v>
      </c>
      <c r="S79" s="104" t="s">
        <v>24</v>
      </c>
      <c r="T79" s="103" t="s">
        <v>1139</v>
      </c>
      <c r="U79" s="103" t="s">
        <v>24</v>
      </c>
      <c r="V79" s="105" t="s">
        <v>24</v>
      </c>
      <c r="W79" s="107" t="s">
        <v>10</v>
      </c>
      <c r="X79" s="107" t="s">
        <v>10</v>
      </c>
      <c r="Y79" s="192" t="str">
        <f>_xlfn.LET(_xlpm.v,_xlfn.XLOOKUP(E79,'[1]SME09-01_LHM'!$D:$D,'[1]SME09-01_LHM'!$AL:$AL),IF(_xlpm.v=0,"",_xlpm.v))</f>
        <v>IBT-046</v>
      </c>
      <c r="Z79" s="104" t="str">
        <f>_xlfn.LET(_xlpm.v,IF(ISTEXT(Y79),_xlfn.XLOOKUP(Y79,'JP-PINT'!A:A,'JP-PINT'!B:B),""),IF(ISERROR(_xlpm.v),"",_xlpm.v))</f>
        <v>&gt; Buyer identifier</v>
      </c>
      <c r="AA79" s="103" t="s">
        <v>8</v>
      </c>
    </row>
    <row r="80" spans="1:27" s="134" customFormat="1" ht="12.75" customHeight="1">
      <c r="A80" s="4">
        <f>IF(ISTEXT(E80),_xlfn.XLOOKUP(E80,'[1]SME09-01_LHM'!$D:$D,'[1]SME09-01_LHM'!$B:$B))</f>
        <v>104</v>
      </c>
      <c r="B80" s="4">
        <f>_xlfn.XLOOKUP(F80,'[1]SME09-01_LHM'!$I:$I,'[1]SME09-01_LHM'!$B:$B)</f>
        <v>104</v>
      </c>
      <c r="C80" s="102">
        <f>ROW()-25</f>
        <v>55</v>
      </c>
      <c r="D80" s="103" t="s">
        <v>1138</v>
      </c>
      <c r="E80" s="103" t="s">
        <v>1794</v>
      </c>
      <c r="F80" s="105" t="s">
        <v>1793</v>
      </c>
      <c r="G80" s="105" t="s">
        <v>1619</v>
      </c>
      <c r="H80" s="103" t="s">
        <v>8</v>
      </c>
      <c r="I80" s="103" t="s">
        <v>74</v>
      </c>
      <c r="J80" s="222" t="s">
        <v>18</v>
      </c>
      <c r="K80" s="223" t="s">
        <v>18</v>
      </c>
      <c r="L80" s="223" t="s">
        <v>18</v>
      </c>
      <c r="M80" s="193"/>
      <c r="N80" s="223" t="s">
        <v>46</v>
      </c>
      <c r="O80" s="136"/>
      <c r="P80" s="105" t="s">
        <v>126</v>
      </c>
      <c r="Q80" s="105" t="s">
        <v>1022</v>
      </c>
      <c r="R80" s="105" t="s">
        <v>10</v>
      </c>
      <c r="S80" s="104" t="s">
        <v>1021</v>
      </c>
      <c r="T80" s="106" t="s">
        <v>13</v>
      </c>
      <c r="U80" s="106" t="s">
        <v>436</v>
      </c>
      <c r="V80" s="105" t="s">
        <v>1792</v>
      </c>
      <c r="W80" s="107" t="s">
        <v>10</v>
      </c>
      <c r="X80" s="107" t="s">
        <v>10</v>
      </c>
      <c r="Y80" s="192" t="str">
        <f>_xlfn.LET(_xlpm.v,_xlfn.XLOOKUP(E80,'[1]SME09-01_LHM'!$D:$D,'[1]SME09-01_LHM'!$AL:$AL),IF(_xlpm.v=0,"",_xlpm.v))</f>
        <v>IBT-047</v>
      </c>
      <c r="Z80" s="104" t="str">
        <f>_xlfn.LET(_xlpm.v,IF(ISTEXT(Y80),_xlfn.XLOOKUP(Y80,'JP-PINT'!A:A,'JP-PINT'!B:B),""),IF(ISERROR(_xlpm.v),"",_xlpm.v))</f>
        <v>&gt; Buyer legal registration identifier</v>
      </c>
      <c r="AA80" s="103" t="s">
        <v>8</v>
      </c>
    </row>
    <row r="81" spans="1:27" s="134" customFormat="1" ht="12.75" customHeight="1">
      <c r="A81" s="4">
        <f>IF(ISTEXT(E81),_xlfn.XLOOKUP(E81,'[1]SME09-01_LHM'!$D:$D,'[1]SME09-01_LHM'!$B:$B))</f>
        <v>105</v>
      </c>
      <c r="B81" s="4">
        <f>_xlfn.XLOOKUP(F81,'[1]SME09-01_LHM'!$I:$I,'[1]SME09-01_LHM'!$B:$B)</f>
        <v>105</v>
      </c>
      <c r="C81" s="102">
        <f>ROW()-25</f>
        <v>56</v>
      </c>
      <c r="D81" s="103" t="s">
        <v>1138</v>
      </c>
      <c r="E81" s="103" t="s">
        <v>1790</v>
      </c>
      <c r="F81" s="105" t="s">
        <v>1789</v>
      </c>
      <c r="G81" s="105" t="s">
        <v>1788</v>
      </c>
      <c r="H81" s="103" t="s">
        <v>8</v>
      </c>
      <c r="I81" s="103" t="s">
        <v>74</v>
      </c>
      <c r="J81" s="232" t="s">
        <v>80</v>
      </c>
      <c r="K81" s="233" t="s">
        <v>80</v>
      </c>
      <c r="L81" s="233" t="s">
        <v>80</v>
      </c>
      <c r="M81" s="234" t="s">
        <v>618</v>
      </c>
      <c r="N81" s="233" t="s">
        <v>443</v>
      </c>
      <c r="O81" s="136" t="s">
        <v>79</v>
      </c>
      <c r="P81" s="105" t="s">
        <v>126</v>
      </c>
      <c r="Q81" s="105" t="s">
        <v>1016</v>
      </c>
      <c r="R81" s="105" t="s">
        <v>10</v>
      </c>
      <c r="S81" s="104"/>
      <c r="T81" s="106"/>
      <c r="U81" s="106"/>
      <c r="V81" s="105"/>
      <c r="W81" s="107" t="s">
        <v>10</v>
      </c>
      <c r="X81" s="107" t="s">
        <v>10</v>
      </c>
      <c r="Y81" s="192" t="str">
        <f>_xlfn.LET(_xlpm.v,_xlfn.XLOOKUP(E81,'[1]SME09-01_LHM'!$D:$D,'[1]SME09-01_LHM'!$AL:$AL),IF(_xlpm.v=0,"",_xlpm.v))</f>
        <v>IBT-044</v>
      </c>
      <c r="Z81" s="104" t="str">
        <f>_xlfn.LET(_xlpm.v,IF(ISTEXT(Y81),_xlfn.XLOOKUP(Y81,'JP-PINT'!A:A,'JP-PINT'!B:B),""),IF(ISERROR(_xlpm.v),"",_xlpm.v))</f>
        <v>&gt; Buyer name</v>
      </c>
      <c r="AA81" s="103" t="s">
        <v>31</v>
      </c>
    </row>
    <row r="82" spans="1:27" s="134" customFormat="1" ht="12.75" customHeight="1">
      <c r="A82" s="4">
        <f>IF(ISTEXT(E82),_xlfn.XLOOKUP(E82,'[1]SME09-01_LHM'!$D:$D,'[1]SME09-01_LHM'!$B:$B))</f>
        <v>133.30000000000001</v>
      </c>
      <c r="B82" s="4">
        <f>_xlfn.XLOOKUP(F82,'[1]SME09-01_LHM'!$I:$I,'[1]SME09-01_LHM'!$B:$B)</f>
        <v>133.30000000000001</v>
      </c>
      <c r="C82" s="102">
        <f>ROW()-25</f>
        <v>57</v>
      </c>
      <c r="D82" s="221" t="s">
        <v>1138</v>
      </c>
      <c r="E82" s="221" t="s">
        <v>1786</v>
      </c>
      <c r="F82" s="217" t="s">
        <v>1785</v>
      </c>
      <c r="G82" s="217" t="s">
        <v>1784</v>
      </c>
      <c r="H82" s="221" t="s">
        <v>8</v>
      </c>
      <c r="I82" s="103" t="s">
        <v>143</v>
      </c>
      <c r="J82" s="235" t="s">
        <v>18</v>
      </c>
      <c r="K82" s="236" t="s">
        <v>18</v>
      </c>
      <c r="L82" s="236" t="s">
        <v>18</v>
      </c>
      <c r="M82" s="237"/>
      <c r="N82" s="191" t="s">
        <v>17</v>
      </c>
      <c r="O82" s="136"/>
      <c r="P82" s="217" t="s">
        <v>126</v>
      </c>
      <c r="Q82" s="217" t="s">
        <v>1677</v>
      </c>
      <c r="R82" s="217" t="s">
        <v>10</v>
      </c>
      <c r="S82" s="238" t="s">
        <v>1021</v>
      </c>
      <c r="T82" s="106" t="s">
        <v>13</v>
      </c>
      <c r="U82" s="106" t="s">
        <v>1445</v>
      </c>
      <c r="V82" s="239" t="s">
        <v>1444</v>
      </c>
      <c r="W82" s="107" t="s">
        <v>10</v>
      </c>
      <c r="X82" s="107" t="s">
        <v>10</v>
      </c>
      <c r="Y82" s="192" t="str">
        <f>_xlfn.LET(_xlpm.v,_xlfn.XLOOKUP(E82,'[1]SME09-01_LHM'!$D:$D,'[1]SME09-01_LHM'!$AL:$AL),IF(_xlpm.v=0,"",_xlpm.v))</f>
        <v>IBT-031</v>
      </c>
      <c r="Z82" s="104" t="str">
        <f>_xlfn.LET(_xlpm.v,IF(ISTEXT(Y82),_xlfn.XLOOKUP(Y82,'JP-PINT'!A:A,'JP-PINT'!B:B),""),IF(ISERROR(_xlpm.v),"",_xlpm.v))</f>
        <v>&gt; Seller TAX identifier</v>
      </c>
      <c r="AA82" s="191" t="s">
        <v>8</v>
      </c>
    </row>
    <row r="83" spans="1:27" s="137" customFormat="1" ht="12.75" customHeight="1">
      <c r="A83" s="4" t="e">
        <f>IF(ISTEXT(E83),_xlfn.XLOOKUP(E83,'[1]SME09-01_LHM'!$D:$D,'[1]SME09-01_LHM'!$B:$B))</f>
        <v>#N/A</v>
      </c>
      <c r="B83" s="4" t="e">
        <f>_xlfn.XLOOKUP(F83,'[1]SME09-01_LHM'!$I:$I,'[1]SME09-01_LHM'!$B:$B)</f>
        <v>#N/A</v>
      </c>
      <c r="C83" s="102">
        <f>ROW()-25</f>
        <v>58</v>
      </c>
      <c r="D83" s="221" t="s">
        <v>1138</v>
      </c>
      <c r="E83" s="221" t="s">
        <v>1782</v>
      </c>
      <c r="F83" s="217" t="s">
        <v>1781</v>
      </c>
      <c r="G83" s="217" t="s">
        <v>1780</v>
      </c>
      <c r="H83" s="103" t="s">
        <v>8</v>
      </c>
      <c r="I83" s="103" t="s">
        <v>143</v>
      </c>
      <c r="J83" s="235" t="s">
        <v>18</v>
      </c>
      <c r="K83" s="236" t="s">
        <v>18</v>
      </c>
      <c r="L83" s="236" t="s">
        <v>18</v>
      </c>
      <c r="M83" s="237"/>
      <c r="N83" s="191" t="s">
        <v>27</v>
      </c>
      <c r="O83" s="136"/>
      <c r="P83" s="217" t="s">
        <v>126</v>
      </c>
      <c r="Q83" s="217" t="s">
        <v>1673</v>
      </c>
      <c r="R83" s="217" t="s">
        <v>10</v>
      </c>
      <c r="S83" s="218" t="s">
        <v>64</v>
      </c>
      <c r="T83" s="219" t="s">
        <v>63</v>
      </c>
      <c r="U83" s="219" t="s">
        <v>24</v>
      </c>
      <c r="V83" s="217" t="s">
        <v>24</v>
      </c>
      <c r="W83" s="107" t="s">
        <v>10</v>
      </c>
      <c r="X83" s="107" t="s">
        <v>10</v>
      </c>
      <c r="Y83" s="192" t="e">
        <f>_xlfn.LET(_xlpm.v,_xlfn.XLOOKUP(E83,'[1]SME09-01_LHM'!$D:$D,'[1]SME09-01_LHM'!$AL:$AL),IF(_xlpm.v=0,"",_xlpm.v))</f>
        <v>#N/A</v>
      </c>
      <c r="Z83" s="104" t="str">
        <f>_xlfn.LET(_xlpm.v,IF(ISTEXT(Y83),_xlfn.XLOOKUP(Y83,'JP-PINT'!A:A,'JP-PINT'!B:B),""),IF(ISERROR(_xlpm.v),"",_xlpm.v))</f>
        <v/>
      </c>
      <c r="AA83" s="191" t="s">
        <v>24</v>
      </c>
    </row>
    <row r="84" spans="1:27" s="134" customFormat="1" ht="12.75" customHeight="1">
      <c r="A84" s="4">
        <f>IF(ISTEXT(E84),_xlfn.XLOOKUP(E84,'[1]SME09-01_LHM'!$D:$D,'[1]SME09-01_LHM'!$B:$B))</f>
        <v>108</v>
      </c>
      <c r="B84" s="4">
        <f>_xlfn.XLOOKUP(F84,'[1]SME09-01_LHM'!$I:$I,'[1]SME09-01_LHM'!$B:$B)</f>
        <v>108</v>
      </c>
      <c r="C84" s="102">
        <f>ROW()-25</f>
        <v>59</v>
      </c>
      <c r="D84" s="103" t="s">
        <v>1138</v>
      </c>
      <c r="E84" s="103" t="s">
        <v>1779</v>
      </c>
      <c r="F84" s="93" t="s">
        <v>2126</v>
      </c>
      <c r="G84" s="105" t="s">
        <v>1497</v>
      </c>
      <c r="H84" s="103" t="s">
        <v>8</v>
      </c>
      <c r="I84" s="103" t="s">
        <v>74</v>
      </c>
      <c r="J84" s="222" t="s">
        <v>18</v>
      </c>
      <c r="K84" s="223" t="s">
        <v>18</v>
      </c>
      <c r="L84" s="223" t="s">
        <v>18</v>
      </c>
      <c r="M84" s="193"/>
      <c r="N84" s="223" t="s">
        <v>46</v>
      </c>
      <c r="O84" s="136"/>
      <c r="P84" s="105" t="s">
        <v>126</v>
      </c>
      <c r="Q84" s="105" t="s">
        <v>1496</v>
      </c>
      <c r="R84" s="105" t="s">
        <v>25</v>
      </c>
      <c r="S84" s="104"/>
      <c r="T84" s="106" t="s">
        <v>1139</v>
      </c>
      <c r="U84" s="106" t="s">
        <v>24</v>
      </c>
      <c r="V84" s="105" t="s">
        <v>24</v>
      </c>
      <c r="W84" s="107" t="s">
        <v>25</v>
      </c>
      <c r="X84" s="107" t="s">
        <v>25</v>
      </c>
      <c r="Y84" s="192" t="str">
        <f>_xlfn.LET(_xlpm.v,_xlfn.XLOOKUP(E84,'[1]SME09-01_LHM'!$D:$D,'[1]SME09-01_LHM'!$AL:$AL),IF(_xlpm.v=0,"",_xlpm.v))</f>
        <v>IBG-09</v>
      </c>
      <c r="Z84" s="104" t="str">
        <f>_xlfn.LET(_xlpm.v,IF(ISTEXT(Y84),_xlfn.XLOOKUP(Y84,'JP-PINT'!A:A,'JP-PINT'!B:B),""),IF(ISERROR(_xlpm.v),"",_xlpm.v))</f>
        <v>&gt; BUYER CONTACT</v>
      </c>
      <c r="AA84" s="103" t="s">
        <v>8</v>
      </c>
    </row>
    <row r="85" spans="1:27" s="134" customFormat="1" ht="12.75" customHeight="1">
      <c r="A85" s="4">
        <f>IF(ISTEXT(E85),_xlfn.XLOOKUP(E85,'[1]SME09-01_LHM'!$D:$D,'[1]SME09-01_LHM'!$B:$B))</f>
        <v>110</v>
      </c>
      <c r="B85" s="4">
        <f>_xlfn.XLOOKUP(F85,'[1]SME09-01_LHM'!$I:$I,'[1]SME09-01_LHM'!$B:$B)</f>
        <v>110</v>
      </c>
      <c r="C85" s="102">
        <f>ROW()-25</f>
        <v>60</v>
      </c>
      <c r="D85" s="103" t="s">
        <v>1138</v>
      </c>
      <c r="E85" s="103" t="s">
        <v>1777</v>
      </c>
      <c r="F85" s="105" t="s">
        <v>1776</v>
      </c>
      <c r="G85" s="105" t="s">
        <v>1775</v>
      </c>
      <c r="H85" s="103" t="s">
        <v>8</v>
      </c>
      <c r="I85" s="103" t="s">
        <v>74</v>
      </c>
      <c r="J85" s="222" t="s">
        <v>18</v>
      </c>
      <c r="K85" s="223" t="s">
        <v>18</v>
      </c>
      <c r="L85" s="223" t="s">
        <v>18</v>
      </c>
      <c r="M85" s="193"/>
      <c r="N85" s="191" t="s">
        <v>27</v>
      </c>
      <c r="O85" s="136"/>
      <c r="P85" s="105" t="s">
        <v>126</v>
      </c>
      <c r="Q85" s="105" t="s">
        <v>1492</v>
      </c>
      <c r="R85" s="105" t="s">
        <v>10</v>
      </c>
      <c r="S85" s="104"/>
      <c r="T85" s="106" t="s">
        <v>1139</v>
      </c>
      <c r="U85" s="106" t="s">
        <v>24</v>
      </c>
      <c r="V85" s="105" t="s">
        <v>24</v>
      </c>
      <c r="W85" s="107" t="s">
        <v>10</v>
      </c>
      <c r="X85" s="107" t="s">
        <v>10</v>
      </c>
      <c r="Y85" s="192" t="str">
        <f>_xlfn.LET(_xlpm.v,_xlfn.XLOOKUP(E85,'[1]SME09-01_LHM'!$D:$D,'[1]SME09-01_LHM'!$AL:$AL),IF(_xlpm.v=0,"",_xlpm.v))</f>
        <v/>
      </c>
      <c r="Z85" s="104" t="str">
        <f>_xlfn.LET(_xlpm.v,IF(ISTEXT(Y85),_xlfn.XLOOKUP(Y85,'JP-PINT'!A:A,'JP-PINT'!B:B),""),IF(ISERROR(_xlpm.v),"",_xlpm.v))</f>
        <v/>
      </c>
      <c r="AA85" s="191" t="s">
        <v>24</v>
      </c>
    </row>
    <row r="86" spans="1:27" s="6" customFormat="1" ht="12.75" customHeight="1">
      <c r="A86" s="4">
        <f>IF(ISTEXT(E86),_xlfn.XLOOKUP(E86,'[1]SME09-01_LHM'!$D:$D,'[1]SME09-01_LHM'!$B:$B))</f>
        <v>111</v>
      </c>
      <c r="B86" s="4">
        <f>_xlfn.XLOOKUP(F86,'[1]SME09-01_LHM'!$I:$I,'[1]SME09-01_LHM'!$B:$B)</f>
        <v>111</v>
      </c>
      <c r="C86" s="22">
        <f>ROW()-25</f>
        <v>61</v>
      </c>
      <c r="D86" s="16" t="s">
        <v>1138</v>
      </c>
      <c r="E86" s="16" t="s">
        <v>1774</v>
      </c>
      <c r="F86" s="18" t="s">
        <v>1773</v>
      </c>
      <c r="G86" s="18" t="s">
        <v>1772</v>
      </c>
      <c r="H86" s="16" t="s">
        <v>8</v>
      </c>
      <c r="I86" s="16" t="s">
        <v>74</v>
      </c>
      <c r="J86" s="188" t="s">
        <v>18</v>
      </c>
      <c r="K86" s="181" t="s">
        <v>18</v>
      </c>
      <c r="L86" s="181" t="s">
        <v>18</v>
      </c>
      <c r="M86" s="186"/>
      <c r="N86" s="181" t="s">
        <v>1768</v>
      </c>
      <c r="O86" s="7"/>
      <c r="P86" s="105" t="s">
        <v>126</v>
      </c>
      <c r="Q86" s="105" t="s">
        <v>1488</v>
      </c>
      <c r="R86" s="105" t="s">
        <v>10</v>
      </c>
      <c r="S86" s="104"/>
      <c r="T86" s="106"/>
      <c r="U86" s="106" t="s">
        <v>24</v>
      </c>
      <c r="V86" s="105" t="s">
        <v>24</v>
      </c>
      <c r="W86" s="3" t="s">
        <v>10</v>
      </c>
      <c r="X86" s="3" t="s">
        <v>10</v>
      </c>
      <c r="Y86" s="182" t="str">
        <f>_xlfn.LET(_xlpm.v,_xlfn.XLOOKUP(E86,'[1]SME09-01_LHM'!$D:$D,'[1]SME09-01_LHM'!$AL:$AL),IF(_xlpm.v=0,"",_xlpm.v))</f>
        <v>IBT-056</v>
      </c>
      <c r="Z86" s="104" t="str">
        <f>_xlfn.LET(_xlpm.v,IF(ISTEXT(Y86),_xlfn.XLOOKUP(Y86,'JP-PINT'!A:A,'JP-PINT'!B:B),""),IF(ISERROR(_xlpm.v),"",_xlpm.v))</f>
        <v>&gt;&gt; Buyer contact point</v>
      </c>
      <c r="AA86" s="23" t="s">
        <v>8</v>
      </c>
    </row>
    <row r="87" spans="1:27" ht="12.75" customHeight="1">
      <c r="A87" s="4">
        <f>IF(ISTEXT(E87),_xlfn.XLOOKUP(E87,'[1]SME09-01_LHM'!$D:$D,'[1]SME09-01_LHM'!$B:$B))</f>
        <v>112</v>
      </c>
      <c r="B87" s="4">
        <f>_xlfn.XLOOKUP(F87,'[1]SME09-01_LHM'!$I:$I,'[1]SME09-01_LHM'!$B:$B)</f>
        <v>112</v>
      </c>
      <c r="C87" s="22">
        <f>ROW()-25</f>
        <v>62</v>
      </c>
      <c r="D87" s="16" t="s">
        <v>1138</v>
      </c>
      <c r="E87" s="16" t="s">
        <v>1771</v>
      </c>
      <c r="F87" s="18" t="s">
        <v>1770</v>
      </c>
      <c r="G87" s="18" t="s">
        <v>1769</v>
      </c>
      <c r="H87" s="16" t="s">
        <v>8</v>
      </c>
      <c r="I87" s="16" t="s">
        <v>74</v>
      </c>
      <c r="J87" s="188" t="s">
        <v>18</v>
      </c>
      <c r="K87" s="181" t="s">
        <v>18</v>
      </c>
      <c r="L87" s="181" t="s">
        <v>18</v>
      </c>
      <c r="M87" s="186"/>
      <c r="N87" s="181" t="s">
        <v>1768</v>
      </c>
      <c r="P87" s="105" t="s">
        <v>126</v>
      </c>
      <c r="Q87" s="105" t="s">
        <v>1484</v>
      </c>
      <c r="R87" s="105" t="s">
        <v>10</v>
      </c>
      <c r="S87" s="104"/>
      <c r="T87" s="103"/>
      <c r="U87" s="103" t="s">
        <v>24</v>
      </c>
      <c r="V87" s="105" t="s">
        <v>24</v>
      </c>
      <c r="W87" s="3" t="s">
        <v>10</v>
      </c>
      <c r="X87" s="3" t="s">
        <v>10</v>
      </c>
      <c r="Y87" s="182" t="str">
        <f>_xlfn.LET(_xlpm.v,_xlfn.XLOOKUP(E87,'[1]SME09-01_LHM'!$D:$D,'[1]SME09-01_LHM'!$AL:$AL),IF(_xlpm.v=0,"",_xlpm.v))</f>
        <v>IBT-056</v>
      </c>
      <c r="Z87" s="104" t="str">
        <f>_xlfn.LET(_xlpm.v,IF(ISTEXT(Y87),_xlfn.XLOOKUP(Y87,'JP-PINT'!A:A,'JP-PINT'!B:B),""),IF(ISERROR(_xlpm.v),"",_xlpm.v))</f>
        <v>&gt;&gt; Buyer contact point</v>
      </c>
      <c r="AA87" s="23" t="s">
        <v>8</v>
      </c>
    </row>
    <row r="88" spans="1:27" ht="12.75" customHeight="1">
      <c r="A88" s="4">
        <f>IF(ISTEXT(E88),_xlfn.XLOOKUP(E88,'[1]SME09-01_LHM'!$D:$D,'[1]SME09-01_LHM'!$B:$B))</f>
        <v>113</v>
      </c>
      <c r="B88" s="4">
        <f>_xlfn.XLOOKUP(F88,'[1]SME09-01_LHM'!$I:$I,'[1]SME09-01_LHM'!$B:$B)</f>
        <v>113</v>
      </c>
      <c r="C88" s="22">
        <f>ROW()-25</f>
        <v>63</v>
      </c>
      <c r="D88" s="16" t="s">
        <v>1138</v>
      </c>
      <c r="E88" s="16" t="s">
        <v>1766</v>
      </c>
      <c r="F88" s="18" t="s">
        <v>1765</v>
      </c>
      <c r="G88" s="18" t="s">
        <v>1764</v>
      </c>
      <c r="H88" s="16" t="s">
        <v>8</v>
      </c>
      <c r="I88" s="16" t="s">
        <v>143</v>
      </c>
      <c r="J88" s="188" t="s">
        <v>18</v>
      </c>
      <c r="K88" s="181" t="s">
        <v>18</v>
      </c>
      <c r="L88" s="181" t="s">
        <v>18</v>
      </c>
      <c r="M88" s="186"/>
      <c r="N88" s="187" t="s">
        <v>27</v>
      </c>
      <c r="P88" s="105" t="s">
        <v>126</v>
      </c>
      <c r="Q88" s="105" t="s">
        <v>1480</v>
      </c>
      <c r="R88" s="105" t="s">
        <v>10</v>
      </c>
      <c r="S88" s="104"/>
      <c r="T88" s="103" t="s">
        <v>1139</v>
      </c>
      <c r="U88" s="103" t="s">
        <v>24</v>
      </c>
      <c r="V88" s="105" t="s">
        <v>24</v>
      </c>
      <c r="W88" s="3" t="s">
        <v>10</v>
      </c>
      <c r="X88" s="3" t="s">
        <v>10</v>
      </c>
      <c r="Y88" s="182" t="str">
        <f>_xlfn.LET(_xlpm.v,_xlfn.XLOOKUP(E88,'[1]SME09-01_LHM'!$D:$D,'[1]SME09-01_LHM'!$AL:$AL),IF(_xlpm.v=0,"",_xlpm.v))</f>
        <v/>
      </c>
      <c r="Z88" s="104" t="str">
        <f>_xlfn.LET(_xlpm.v,IF(ISTEXT(Y88),_xlfn.XLOOKUP(Y88,'JP-PINT'!A:A,'JP-PINT'!B:B),""),IF(ISERROR(_xlpm.v),"",_xlpm.v))</f>
        <v/>
      </c>
      <c r="AA88" s="187" t="s">
        <v>24</v>
      </c>
    </row>
    <row r="89" spans="1:27" ht="12.75" customHeight="1">
      <c r="A89" s="4">
        <f>IF(ISTEXT(E89),_xlfn.XLOOKUP(E89,'[1]SME09-01_LHM'!$D:$D,'[1]SME09-01_LHM'!$B:$B))</f>
        <v>116</v>
      </c>
      <c r="B89" s="4">
        <f>_xlfn.XLOOKUP(F89,'[1]SME09-01_LHM'!$I:$I,'[1]SME09-01_LHM'!$B:$B)</f>
        <v>116</v>
      </c>
      <c r="C89" s="22">
        <f>ROW()-25</f>
        <v>64</v>
      </c>
      <c r="D89" s="16" t="s">
        <v>1138</v>
      </c>
      <c r="E89" s="16" t="s">
        <v>1763</v>
      </c>
      <c r="F89" s="18" t="s">
        <v>1762</v>
      </c>
      <c r="G89" s="18" t="s">
        <v>1761</v>
      </c>
      <c r="H89" s="16" t="s">
        <v>8</v>
      </c>
      <c r="I89" s="16" t="s">
        <v>74</v>
      </c>
      <c r="J89" s="188" t="s">
        <v>18</v>
      </c>
      <c r="K89" s="181" t="s">
        <v>18</v>
      </c>
      <c r="L89" s="181" t="s">
        <v>18</v>
      </c>
      <c r="M89" s="186"/>
      <c r="N89" s="181" t="s">
        <v>72</v>
      </c>
      <c r="P89" s="105" t="s">
        <v>126</v>
      </c>
      <c r="Q89" s="104" t="s">
        <v>1473</v>
      </c>
      <c r="R89" s="105" t="s">
        <v>10</v>
      </c>
      <c r="S89" s="104"/>
      <c r="T89" s="103" t="s">
        <v>1139</v>
      </c>
      <c r="U89" s="103" t="s">
        <v>24</v>
      </c>
      <c r="V89" s="105" t="s">
        <v>24</v>
      </c>
      <c r="W89" s="3" t="s">
        <v>10</v>
      </c>
      <c r="X89" s="3" t="s">
        <v>10</v>
      </c>
      <c r="Y89" s="182" t="str">
        <f>_xlfn.LET(_xlpm.v,_xlfn.XLOOKUP(E89,'[1]SME09-01_LHM'!$D:$D,'[1]SME09-01_LHM'!$AL:$AL),IF(_xlpm.v=0,"",_xlpm.v))</f>
        <v>IBT-057</v>
      </c>
      <c r="Z89" s="104" t="str">
        <f>_xlfn.LET(_xlpm.v,IF(ISTEXT(Y89),_xlfn.XLOOKUP(Y89,'JP-PINT'!A:A,'JP-PINT'!B:B),""),IF(ISERROR(_xlpm.v),"",_xlpm.v))</f>
        <v>&gt;&gt; Buyer contact telephone number</v>
      </c>
      <c r="AA89" s="23" t="s">
        <v>8</v>
      </c>
    </row>
    <row r="90" spans="1:27" ht="12.75" customHeight="1">
      <c r="A90" s="4">
        <f>IF(ISTEXT(E90),_xlfn.XLOOKUP(E90,'[1]SME09-01_LHM'!$D:$D,'[1]SME09-01_LHM'!$B:$B))</f>
        <v>119</v>
      </c>
      <c r="B90" s="4">
        <f>_xlfn.XLOOKUP(F90,'[1]SME09-01_LHM'!$I:$I,'[1]SME09-01_LHM'!$B:$B)</f>
        <v>119</v>
      </c>
      <c r="C90" s="22">
        <f>ROW()-25</f>
        <v>65</v>
      </c>
      <c r="D90" s="23" t="s">
        <v>1138</v>
      </c>
      <c r="E90" s="16" t="s">
        <v>1759</v>
      </c>
      <c r="F90" s="22" t="s">
        <v>1758</v>
      </c>
      <c r="G90" s="22" t="s">
        <v>1757</v>
      </c>
      <c r="H90" s="16" t="s">
        <v>8</v>
      </c>
      <c r="I90" s="16" t="s">
        <v>143</v>
      </c>
      <c r="J90" s="21" t="s">
        <v>18</v>
      </c>
      <c r="K90" s="16" t="s">
        <v>18</v>
      </c>
      <c r="L90" s="16" t="s">
        <v>18</v>
      </c>
      <c r="M90" s="19"/>
      <c r="N90" s="187" t="s">
        <v>27</v>
      </c>
      <c r="P90" s="102" t="s">
        <v>126</v>
      </c>
      <c r="Q90" s="104" t="s">
        <v>1473</v>
      </c>
      <c r="R90" s="105" t="s">
        <v>10</v>
      </c>
      <c r="S90" s="104"/>
      <c r="T90" s="103" t="s">
        <v>1139</v>
      </c>
      <c r="U90" s="103" t="s">
        <v>24</v>
      </c>
      <c r="V90" s="105" t="s">
        <v>24</v>
      </c>
      <c r="W90" s="3" t="s">
        <v>10</v>
      </c>
      <c r="X90" s="3" t="s">
        <v>10</v>
      </c>
      <c r="Y90" s="182" t="str">
        <f>_xlfn.LET(_xlpm.v,_xlfn.XLOOKUP(E90,'[1]SME09-01_LHM'!$D:$D,'[1]SME09-01_LHM'!$AL:$AL),IF(_xlpm.v=0,"",_xlpm.v))</f>
        <v/>
      </c>
      <c r="Z90" s="104" t="str">
        <f>_xlfn.LET(_xlpm.v,IF(ISTEXT(Y90),_xlfn.XLOOKUP(Y90,'JP-PINT'!A:A,'JP-PINT'!B:B),""),IF(ISERROR(_xlpm.v),"",_xlpm.v))</f>
        <v/>
      </c>
      <c r="AA90" s="187" t="s">
        <v>24</v>
      </c>
    </row>
    <row r="91" spans="1:27" ht="12.75" customHeight="1">
      <c r="A91" s="4">
        <f>IF(ISTEXT(E91),_xlfn.XLOOKUP(E91,'[1]SME09-01_LHM'!$D:$D,'[1]SME09-01_LHM'!$B:$B))</f>
        <v>122</v>
      </c>
      <c r="B91" s="4">
        <f>_xlfn.XLOOKUP(F91,'[1]SME09-01_LHM'!$I:$I,'[1]SME09-01_LHM'!$B:$B)</f>
        <v>122</v>
      </c>
      <c r="C91" s="22">
        <f>ROW()-25</f>
        <v>66</v>
      </c>
      <c r="D91" s="16" t="s">
        <v>1138</v>
      </c>
      <c r="E91" s="16" t="s">
        <v>1756</v>
      </c>
      <c r="F91" s="18" t="s">
        <v>1755</v>
      </c>
      <c r="G91" s="18" t="s">
        <v>1754</v>
      </c>
      <c r="H91" s="16" t="s">
        <v>8</v>
      </c>
      <c r="I91" s="16" t="s">
        <v>143</v>
      </c>
      <c r="J91" s="188" t="s">
        <v>18</v>
      </c>
      <c r="K91" s="181" t="s">
        <v>18</v>
      </c>
      <c r="L91" s="181" t="s">
        <v>18</v>
      </c>
      <c r="M91" s="186"/>
      <c r="N91" s="181" t="s">
        <v>72</v>
      </c>
      <c r="P91" s="105" t="s">
        <v>126</v>
      </c>
      <c r="Q91" s="105" t="s">
        <v>1446</v>
      </c>
      <c r="R91" s="105" t="s">
        <v>10</v>
      </c>
      <c r="S91" s="104"/>
      <c r="T91" s="103" t="s">
        <v>1139</v>
      </c>
      <c r="U91" s="103" t="s">
        <v>24</v>
      </c>
      <c r="V91" s="105" t="s">
        <v>24</v>
      </c>
      <c r="W91" s="3" t="s">
        <v>10</v>
      </c>
      <c r="X91" s="3" t="s">
        <v>10</v>
      </c>
      <c r="Y91" s="182" t="str">
        <f>_xlfn.LET(_xlpm.v,_xlfn.XLOOKUP(E91,'[1]SME09-01_LHM'!$D:$D,'[1]SME09-01_LHM'!$AL:$AL),IF(_xlpm.v=0,"",_xlpm.v))</f>
        <v>IBT-058</v>
      </c>
      <c r="Z91" s="104" t="str">
        <f>_xlfn.LET(_xlpm.v,IF(ISTEXT(Y91),_xlfn.XLOOKUP(Y91,'JP-PINT'!A:A,'JP-PINT'!B:B),""),IF(ISERROR(_xlpm.v),"",_xlpm.v))</f>
        <v>&gt;&gt; Buyer contact email address</v>
      </c>
      <c r="AA91" s="23" t="s">
        <v>8</v>
      </c>
    </row>
    <row r="92" spans="1:27" ht="12.75" customHeight="1">
      <c r="A92" s="4">
        <f>IF(ISTEXT(E92),_xlfn.XLOOKUP(E92,'[1]SME09-01_LHM'!$D:$D,'[1]SME09-01_LHM'!$B:$B))</f>
        <v>123</v>
      </c>
      <c r="B92" s="4">
        <f>_xlfn.XLOOKUP(F92,'[1]SME09-01_LHM'!$I:$I,'[1]SME09-01_LHM'!$B:$B)</f>
        <v>123</v>
      </c>
      <c r="C92" s="22">
        <f>ROW()-25</f>
        <v>67</v>
      </c>
      <c r="D92" s="26" t="s">
        <v>1138</v>
      </c>
      <c r="E92" s="208" t="s">
        <v>1752</v>
      </c>
      <c r="F92" s="93" t="s">
        <v>2129</v>
      </c>
      <c r="G92" s="25" t="s">
        <v>1751</v>
      </c>
      <c r="H92" s="26" t="s">
        <v>8</v>
      </c>
      <c r="I92" s="200" t="s">
        <v>143</v>
      </c>
      <c r="J92" s="201" t="s">
        <v>66</v>
      </c>
      <c r="K92" s="199" t="s">
        <v>66</v>
      </c>
      <c r="L92" s="199" t="s">
        <v>66</v>
      </c>
      <c r="M92" s="189"/>
      <c r="N92" s="181" t="s">
        <v>183</v>
      </c>
      <c r="O92" s="202"/>
      <c r="P92" s="105" t="s">
        <v>126</v>
      </c>
      <c r="Q92" s="105" t="s">
        <v>1012</v>
      </c>
      <c r="R92" s="105" t="s">
        <v>25</v>
      </c>
      <c r="S92" s="104"/>
      <c r="T92" s="106" t="s">
        <v>1139</v>
      </c>
      <c r="U92" s="106" t="s">
        <v>24</v>
      </c>
      <c r="V92" s="105" t="s">
        <v>24</v>
      </c>
      <c r="W92" s="203" t="s">
        <v>25</v>
      </c>
      <c r="X92" s="203" t="s">
        <v>25</v>
      </c>
      <c r="Y92" s="182" t="str">
        <f>_xlfn.LET(_xlpm.v,_xlfn.XLOOKUP(E92,'[1]SME09-01_LHM'!$D:$D,'[1]SME09-01_LHM'!$AL:$AL),IF(_xlpm.v=0,"",_xlpm.v))</f>
        <v>IBG-08</v>
      </c>
      <c r="Z92" s="104" t="str">
        <f>_xlfn.LET(_xlpm.v,IF(ISTEXT(Y92),_xlfn.XLOOKUP(Y92,'JP-PINT'!A:A,'JP-PINT'!B:B),""),IF(ISERROR(_xlpm.v),"",_xlpm.v))</f>
        <v>&gt; BUYER POSTAL ADDRESS</v>
      </c>
      <c r="AA92" s="240" t="s">
        <v>31</v>
      </c>
    </row>
    <row r="93" spans="1:27" s="241" customFormat="1" ht="12.75" customHeight="1">
      <c r="A93" s="4">
        <f>IF(ISTEXT(E93),_xlfn.XLOOKUP(E93,'[1]SME09-01_LHM'!$D:$D,'[1]SME09-01_LHM'!$B:$B))</f>
        <v>125</v>
      </c>
      <c r="B93" s="4">
        <f>_xlfn.XLOOKUP(F93,'[1]SME09-01_LHM'!$I:$I,'[1]SME09-01_LHM'!$B:$B)</f>
        <v>125</v>
      </c>
      <c r="C93" s="22">
        <f>ROW()-25</f>
        <v>68</v>
      </c>
      <c r="D93" s="16" t="s">
        <v>1138</v>
      </c>
      <c r="E93" s="16" t="s">
        <v>1749</v>
      </c>
      <c r="F93" s="18" t="s">
        <v>1748</v>
      </c>
      <c r="G93" s="18" t="s">
        <v>1747</v>
      </c>
      <c r="H93" s="16" t="s">
        <v>8</v>
      </c>
      <c r="I93" s="16" t="s">
        <v>143</v>
      </c>
      <c r="J93" s="188" t="s">
        <v>18</v>
      </c>
      <c r="K93" s="181" t="s">
        <v>18</v>
      </c>
      <c r="L93" s="181" t="s">
        <v>18</v>
      </c>
      <c r="M93" s="186"/>
      <c r="N93" s="181" t="s">
        <v>72</v>
      </c>
      <c r="O93" s="7"/>
      <c r="P93" s="105" t="s">
        <v>126</v>
      </c>
      <c r="Q93" s="105" t="s">
        <v>1007</v>
      </c>
      <c r="R93" s="105" t="s">
        <v>10</v>
      </c>
      <c r="S93" s="104"/>
      <c r="T93" s="103" t="s">
        <v>1139</v>
      </c>
      <c r="U93" s="103" t="s">
        <v>24</v>
      </c>
      <c r="V93" s="105" t="s">
        <v>24</v>
      </c>
      <c r="W93" s="3" t="s">
        <v>10</v>
      </c>
      <c r="X93" s="3" t="s">
        <v>10</v>
      </c>
      <c r="Y93" s="182" t="str">
        <f>_xlfn.LET(_xlpm.v,_xlfn.XLOOKUP(E93,'[1]SME09-01_LHM'!$D:$D,'[1]SME09-01_LHM'!$AL:$AL),IF(_xlpm.v=0,"",_xlpm.v))</f>
        <v>IBT-053</v>
      </c>
      <c r="Z93" s="104" t="str">
        <f>_xlfn.LET(_xlpm.v,IF(ISTEXT(Y93),_xlfn.XLOOKUP(Y93,'JP-PINT'!A:A,'JP-PINT'!B:B),""),IF(ISERROR(_xlpm.v),"",_xlpm.v))</f>
        <v>&gt;&gt; Buyer post code</v>
      </c>
      <c r="AA93" s="16" t="s">
        <v>8</v>
      </c>
    </row>
    <row r="94" spans="1:27" s="6" customFormat="1" ht="12.75" customHeight="1">
      <c r="A94" s="4">
        <f>IF(ISTEXT(E94),_xlfn.XLOOKUP(E94,'[1]SME09-01_LHM'!$D:$D,'[1]SME09-01_LHM'!$B:$B))</f>
        <v>126</v>
      </c>
      <c r="B94" s="4">
        <f>_xlfn.XLOOKUP(F94,'[1]SME09-01_LHM'!$I:$I,'[1]SME09-01_LHM'!$B:$B)</f>
        <v>126</v>
      </c>
      <c r="C94" s="22">
        <f>ROW()-25</f>
        <v>69</v>
      </c>
      <c r="D94" s="16" t="s">
        <v>1138</v>
      </c>
      <c r="E94" s="16" t="s">
        <v>1745</v>
      </c>
      <c r="F94" s="18" t="s">
        <v>1744</v>
      </c>
      <c r="G94" s="18" t="s">
        <v>1743</v>
      </c>
      <c r="H94" s="16" t="s">
        <v>8</v>
      </c>
      <c r="I94" s="16" t="s">
        <v>143</v>
      </c>
      <c r="J94" s="188" t="s">
        <v>18</v>
      </c>
      <c r="K94" s="181" t="s">
        <v>18</v>
      </c>
      <c r="L94" s="181" t="s">
        <v>18</v>
      </c>
      <c r="M94" s="186"/>
      <c r="N94" s="181" t="s">
        <v>72</v>
      </c>
      <c r="O94" s="7"/>
      <c r="P94" s="105" t="s">
        <v>126</v>
      </c>
      <c r="Q94" s="105" t="s">
        <v>1002</v>
      </c>
      <c r="R94" s="105" t="s">
        <v>10</v>
      </c>
      <c r="S94" s="104"/>
      <c r="T94" s="106"/>
      <c r="U94" s="106" t="s">
        <v>24</v>
      </c>
      <c r="V94" s="105" t="s">
        <v>24</v>
      </c>
      <c r="W94" s="3" t="s">
        <v>10</v>
      </c>
      <c r="X94" s="3" t="s">
        <v>10</v>
      </c>
      <c r="Y94" s="182" t="str">
        <f>_xlfn.LET(_xlpm.v,_xlfn.XLOOKUP(E94,'[1]SME09-01_LHM'!$D:$D,'[1]SME09-01_LHM'!$AL:$AL),IF(_xlpm.v=0,"",_xlpm.v))</f>
        <v>IBT-050</v>
      </c>
      <c r="Z94" s="104" t="str">
        <f>_xlfn.LET(_xlpm.v,IF(ISTEXT(Y94),_xlfn.XLOOKUP(Y94,'JP-PINT'!A:A,'JP-PINT'!B:B),""),IF(ISERROR(_xlpm.v),"",_xlpm.v))</f>
        <v>&gt;&gt; Buyer address line 1</v>
      </c>
      <c r="AA94" s="16" t="s">
        <v>8</v>
      </c>
    </row>
    <row r="95" spans="1:27" s="6" customFormat="1" ht="12.75" customHeight="1">
      <c r="A95" s="4">
        <f>IF(ISTEXT(E95),_xlfn.XLOOKUP(E95,'[1]SME09-01_LHM'!$D:$D,'[1]SME09-01_LHM'!$B:$B))</f>
        <v>127</v>
      </c>
      <c r="B95" s="4">
        <f>_xlfn.XLOOKUP(F95,'[1]SME09-01_LHM'!$I:$I,'[1]SME09-01_LHM'!$B:$B)</f>
        <v>127</v>
      </c>
      <c r="C95" s="22">
        <f>ROW()-25</f>
        <v>70</v>
      </c>
      <c r="D95" s="16" t="s">
        <v>1138</v>
      </c>
      <c r="E95" s="16" t="s">
        <v>1741</v>
      </c>
      <c r="F95" s="18" t="s">
        <v>1740</v>
      </c>
      <c r="G95" s="18" t="s">
        <v>1739</v>
      </c>
      <c r="H95" s="16" t="s">
        <v>8</v>
      </c>
      <c r="I95" s="16" t="s">
        <v>143</v>
      </c>
      <c r="J95" s="188" t="s">
        <v>18</v>
      </c>
      <c r="K95" s="181" t="s">
        <v>18</v>
      </c>
      <c r="L95" s="242"/>
      <c r="M95" s="186"/>
      <c r="N95" s="181" t="s">
        <v>72</v>
      </c>
      <c r="O95" s="7"/>
      <c r="P95" s="105" t="s">
        <v>126</v>
      </c>
      <c r="Q95" s="105" t="s">
        <v>997</v>
      </c>
      <c r="R95" s="105" t="s">
        <v>10</v>
      </c>
      <c r="S95" s="104"/>
      <c r="T95" s="106"/>
      <c r="U95" s="106" t="s">
        <v>24</v>
      </c>
      <c r="V95" s="105" t="s">
        <v>24</v>
      </c>
      <c r="W95" s="3" t="s">
        <v>10</v>
      </c>
      <c r="X95" s="3"/>
      <c r="Y95" s="182" t="str">
        <f>_xlfn.LET(_xlpm.v,_xlfn.XLOOKUP(E95,'[1]SME09-01_LHM'!$D:$D,'[1]SME09-01_LHM'!$AL:$AL),IF(_xlpm.v=0,"",_xlpm.v))</f>
        <v>IBT-051</v>
      </c>
      <c r="Z95" s="104" t="str">
        <f>_xlfn.LET(_xlpm.v,IF(ISTEXT(Y95),_xlfn.XLOOKUP(Y95,'JP-PINT'!A:A,'JP-PINT'!B:B),""),IF(ISERROR(_xlpm.v),"",_xlpm.v))</f>
        <v>&gt;&gt; Buyer address line 2</v>
      </c>
      <c r="AA95" s="16" t="s">
        <v>8</v>
      </c>
    </row>
    <row r="96" spans="1:27" s="6" customFormat="1" ht="12.75" customHeight="1">
      <c r="A96" s="4">
        <f>IF(ISTEXT(E96),_xlfn.XLOOKUP(E96,'[1]SME09-01_LHM'!$D:$D,'[1]SME09-01_LHM'!$B:$B))</f>
        <v>128</v>
      </c>
      <c r="B96" s="4">
        <f>_xlfn.XLOOKUP(F96,'[1]SME09-01_LHM'!$I:$I,'[1]SME09-01_LHM'!$B:$B)</f>
        <v>128</v>
      </c>
      <c r="C96" s="22">
        <f>ROW()-25</f>
        <v>71</v>
      </c>
      <c r="D96" s="16" t="s">
        <v>1138</v>
      </c>
      <c r="E96" s="16" t="s">
        <v>1737</v>
      </c>
      <c r="F96" s="18" t="s">
        <v>1736</v>
      </c>
      <c r="G96" s="18" t="s">
        <v>1735</v>
      </c>
      <c r="H96" s="16" t="s">
        <v>8</v>
      </c>
      <c r="I96" s="16" t="s">
        <v>143</v>
      </c>
      <c r="J96" s="188" t="s">
        <v>18</v>
      </c>
      <c r="K96" s="181" t="s">
        <v>18</v>
      </c>
      <c r="L96" s="242"/>
      <c r="M96" s="186"/>
      <c r="N96" s="181" t="s">
        <v>72</v>
      </c>
      <c r="O96" s="7"/>
      <c r="P96" s="105" t="s">
        <v>126</v>
      </c>
      <c r="Q96" s="105" t="s">
        <v>992</v>
      </c>
      <c r="R96" s="105" t="s">
        <v>10</v>
      </c>
      <c r="S96" s="104"/>
      <c r="T96" s="106"/>
      <c r="U96" s="106" t="s">
        <v>24</v>
      </c>
      <c r="V96" s="105" t="s">
        <v>24</v>
      </c>
      <c r="W96" s="3" t="s">
        <v>10</v>
      </c>
      <c r="X96" s="3"/>
      <c r="Y96" s="182" t="str">
        <f>_xlfn.LET(_xlpm.v,_xlfn.XLOOKUP(E96,'[1]SME09-01_LHM'!$D:$D,'[1]SME09-01_LHM'!$AL:$AL),IF(_xlpm.v=0,"",_xlpm.v))</f>
        <v>IBT-163</v>
      </c>
      <c r="Z96" s="104" t="str">
        <f>_xlfn.LET(_xlpm.v,IF(ISTEXT(Y96),_xlfn.XLOOKUP(Y96,'JP-PINT'!A:A,'JP-PINT'!B:B),""),IF(ISERROR(_xlpm.v),"",_xlpm.v))</f>
        <v>&gt;&gt; Buyer address line 3</v>
      </c>
      <c r="AA96" s="16" t="s">
        <v>8</v>
      </c>
    </row>
    <row r="97" spans="1:27" s="6" customFormat="1" ht="12.75" customHeight="1">
      <c r="A97" s="4">
        <f>IF(ISTEXT(E97),_xlfn.XLOOKUP(E97,'[1]SME09-01_LHM'!$D:$D,'[1]SME09-01_LHM'!$B:$B))</f>
        <v>129</v>
      </c>
      <c r="B97" s="4">
        <f>_xlfn.XLOOKUP(F97,'[1]SME09-01_LHM'!$I:$I,'[1]SME09-01_LHM'!$B:$B)</f>
        <v>129</v>
      </c>
      <c r="C97" s="22">
        <f>ROW()-25</f>
        <v>72</v>
      </c>
      <c r="D97" s="16" t="s">
        <v>1138</v>
      </c>
      <c r="E97" s="16" t="s">
        <v>1733</v>
      </c>
      <c r="F97" s="18" t="s">
        <v>1732</v>
      </c>
      <c r="G97" s="18" t="s">
        <v>1731</v>
      </c>
      <c r="H97" s="16" t="s">
        <v>31</v>
      </c>
      <c r="I97" s="16" t="s">
        <v>143</v>
      </c>
      <c r="J97" s="188" t="s">
        <v>66</v>
      </c>
      <c r="K97" s="181" t="s">
        <v>66</v>
      </c>
      <c r="L97" s="242"/>
      <c r="M97" s="186"/>
      <c r="N97" s="181" t="s">
        <v>34</v>
      </c>
      <c r="O97" s="7"/>
      <c r="P97" s="105" t="s">
        <v>126</v>
      </c>
      <c r="Q97" s="105" t="s">
        <v>987</v>
      </c>
      <c r="R97" s="105" t="s">
        <v>10</v>
      </c>
      <c r="S97" s="104" t="s">
        <v>14</v>
      </c>
      <c r="T97" s="106" t="s">
        <v>13</v>
      </c>
      <c r="U97" s="106" t="s">
        <v>12</v>
      </c>
      <c r="V97" s="105" t="s">
        <v>11</v>
      </c>
      <c r="W97" s="3" t="s">
        <v>10</v>
      </c>
      <c r="X97" s="3"/>
      <c r="Y97" s="182" t="str">
        <f>_xlfn.LET(_xlpm.v,_xlfn.XLOOKUP(E97,'[1]SME09-01_LHM'!$D:$D,'[1]SME09-01_LHM'!$AL:$AL),IF(_xlpm.v=0,"",_xlpm.v))</f>
        <v>IBT-055</v>
      </c>
      <c r="Z97" s="104" t="str">
        <f>_xlfn.LET(_xlpm.v,IF(ISTEXT(Y97),_xlfn.XLOOKUP(Y97,'JP-PINT'!A:A,'JP-PINT'!B:B),""),IF(ISERROR(_xlpm.v),"",_xlpm.v))</f>
        <v>&gt;&gt; Buyer country code</v>
      </c>
      <c r="AA97" s="16" t="s">
        <v>31</v>
      </c>
    </row>
    <row r="98" spans="1:27" s="6" customFormat="1" ht="12.75" customHeight="1">
      <c r="A98" s="4">
        <f>IF(ISTEXT(E98),_xlfn.XLOOKUP(E98,'[1]SME09-01_LHM'!$D:$D,'[1]SME09-01_LHM'!$B:$B))</f>
        <v>130</v>
      </c>
      <c r="B98" s="4">
        <f>_xlfn.XLOOKUP(F98,'[1]SME09-01_LHM'!$I:$I,'[1]SME09-01_LHM'!$B:$B)</f>
        <v>130</v>
      </c>
      <c r="C98" s="22">
        <f>ROW()-25</f>
        <v>73</v>
      </c>
      <c r="D98" s="26" t="s">
        <v>1138</v>
      </c>
      <c r="E98" s="208" t="s">
        <v>1729</v>
      </c>
      <c r="F98" s="93" t="s">
        <v>2154</v>
      </c>
      <c r="G98" s="25" t="s">
        <v>1728</v>
      </c>
      <c r="H98" s="26" t="s">
        <v>8</v>
      </c>
      <c r="I98" s="26" t="s">
        <v>19</v>
      </c>
      <c r="J98" s="201" t="s">
        <v>66</v>
      </c>
      <c r="K98" s="199" t="s">
        <v>66</v>
      </c>
      <c r="L98" s="199" t="s">
        <v>66</v>
      </c>
      <c r="M98" s="189"/>
      <c r="N98" s="243" t="s">
        <v>24</v>
      </c>
      <c r="O98" s="7"/>
      <c r="P98" s="105" t="s">
        <v>126</v>
      </c>
      <c r="Q98" s="105" t="s">
        <v>1450</v>
      </c>
      <c r="R98" s="105" t="s">
        <v>25</v>
      </c>
      <c r="S98" s="104" t="s">
        <v>24</v>
      </c>
      <c r="T98" s="106" t="s">
        <v>24</v>
      </c>
      <c r="U98" s="106" t="s">
        <v>1139</v>
      </c>
      <c r="V98" s="104" t="s">
        <v>1139</v>
      </c>
      <c r="W98" s="3" t="s">
        <v>25</v>
      </c>
      <c r="X98" s="3" t="s">
        <v>25</v>
      </c>
      <c r="Y98" s="182" t="str">
        <f>_xlfn.LET(_xlpm.v,_xlfn.XLOOKUP(E98,'[1]SME09-01_LHM'!$D:$D,'[1]SME09-01_LHM'!$AL:$AL),IF(_xlpm.v=0,"",_xlpm.v))</f>
        <v/>
      </c>
      <c r="Z98" s="104" t="str">
        <f>_xlfn.LET(_xlpm.v,IF(ISTEXT(Y98),_xlfn.XLOOKUP(Y98,'JP-PINT'!A:A,'JP-PINT'!B:B),""),IF(ISERROR(_xlpm.v),"",_xlpm.v))</f>
        <v/>
      </c>
      <c r="AA98" s="243" t="s">
        <v>24</v>
      </c>
    </row>
    <row r="99" spans="1:27" s="134" customFormat="1" ht="12.75" customHeight="1">
      <c r="A99" s="4">
        <f>IF(ISTEXT(E99),_xlfn.XLOOKUP(E99,'[1]SME09-01_LHM'!$D:$D,'[1]SME09-01_LHM'!$B:$B))</f>
        <v>132</v>
      </c>
      <c r="B99" s="4">
        <f>_xlfn.XLOOKUP(F99,'[1]SME09-01_LHM'!$I:$I,'[1]SME09-01_LHM'!$B:$B)</f>
        <v>132</v>
      </c>
      <c r="C99" s="102">
        <f>ROW()-25</f>
        <v>74</v>
      </c>
      <c r="D99" s="153" t="s">
        <v>1138</v>
      </c>
      <c r="E99" s="153" t="s">
        <v>1727</v>
      </c>
      <c r="F99" s="148" t="s">
        <v>1726</v>
      </c>
      <c r="G99" s="148" t="s">
        <v>1725</v>
      </c>
      <c r="H99" s="153" t="s">
        <v>8</v>
      </c>
      <c r="I99" s="153" t="s">
        <v>127</v>
      </c>
      <c r="J99" s="230" t="s">
        <v>66</v>
      </c>
      <c r="K99" s="231" t="s">
        <v>66</v>
      </c>
      <c r="L99" s="231" t="s">
        <v>66</v>
      </c>
      <c r="M99" s="193" t="s">
        <v>73</v>
      </c>
      <c r="N99" s="223" t="s">
        <v>443</v>
      </c>
      <c r="O99" s="225" t="s">
        <v>79</v>
      </c>
      <c r="P99" s="105" t="s">
        <v>126</v>
      </c>
      <c r="Q99" s="105" t="s">
        <v>1446</v>
      </c>
      <c r="R99" s="105" t="s">
        <v>10</v>
      </c>
      <c r="S99" s="104" t="s">
        <v>1021</v>
      </c>
      <c r="T99" s="106" t="s">
        <v>13</v>
      </c>
      <c r="U99" s="106" t="s">
        <v>1445</v>
      </c>
      <c r="V99" s="150" t="s">
        <v>1444</v>
      </c>
      <c r="W99" s="226" t="s">
        <v>10</v>
      </c>
      <c r="X99" s="226" t="s">
        <v>10</v>
      </c>
      <c r="Y99" s="192" t="str">
        <f>_xlfn.LET(_xlpm.v,_xlfn.XLOOKUP(E99,'[1]SME09-01_LHM'!$D:$D,'[1]SME09-01_LHM'!$AL:$AL),IF(_xlpm.v=0,"",_xlpm.v))</f>
        <v>IBT-049</v>
      </c>
      <c r="Z99" s="104" t="str">
        <f>_xlfn.LET(_xlpm.v,IF(ISTEXT(Y99),_xlfn.XLOOKUP(Y99,'JP-PINT'!A:A,'JP-PINT'!B:B),""),IF(ISERROR(_xlpm.v),"",_xlpm.v))</f>
        <v>&gt; Buyer electronic address</v>
      </c>
      <c r="AA99" s="227" t="s">
        <v>31</v>
      </c>
    </row>
    <row r="100" spans="1:27" s="228" customFormat="1" ht="12.75" customHeight="1">
      <c r="A100" s="4" t="e">
        <f>IF(ISTEXT(E100),_xlfn.XLOOKUP(E100,'[1]SME09-01_LHM'!$D:$D,'[1]SME09-01_LHM'!$B:$B))</f>
        <v>#N/A</v>
      </c>
      <c r="B100" s="4" t="e">
        <f>_xlfn.XLOOKUP(F100,'[1]SME09-01_LHM'!$I:$I,'[1]SME09-01_LHM'!$B:$B)</f>
        <v>#N/A</v>
      </c>
      <c r="C100" s="102">
        <f>ROW()-25</f>
        <v>75</v>
      </c>
      <c r="D100" s="153" t="s">
        <v>1138</v>
      </c>
      <c r="E100" s="153" t="s">
        <v>1723</v>
      </c>
      <c r="F100" s="93" t="s">
        <v>2139</v>
      </c>
      <c r="G100" s="148" t="s">
        <v>1442</v>
      </c>
      <c r="H100" s="103"/>
      <c r="I100" s="153" t="s">
        <v>127</v>
      </c>
      <c r="J100" s="230" t="s">
        <v>66</v>
      </c>
      <c r="K100" s="231" t="s">
        <v>66</v>
      </c>
      <c r="L100" s="231" t="s">
        <v>66</v>
      </c>
      <c r="M100" s="193" t="s">
        <v>73</v>
      </c>
      <c r="N100" s="223" t="s">
        <v>443</v>
      </c>
      <c r="O100" s="225" t="s">
        <v>79</v>
      </c>
      <c r="P100" s="105" t="s">
        <v>126</v>
      </c>
      <c r="Q100" s="105"/>
      <c r="R100" s="105" t="s">
        <v>430</v>
      </c>
      <c r="S100" s="104"/>
      <c r="T100" s="106" t="s">
        <v>103</v>
      </c>
      <c r="U100" s="106" t="s">
        <v>24</v>
      </c>
      <c r="V100" s="104"/>
      <c r="W100" s="226" t="s">
        <v>429</v>
      </c>
      <c r="X100" s="226" t="s">
        <v>429</v>
      </c>
      <c r="Y100" s="192" t="e">
        <f>_xlfn.LET(_xlpm.v,_xlfn.XLOOKUP(E100,'[1]SME09-01_LHM'!$D:$D,'[1]SME09-01_LHM'!$AL:$AL),IF(_xlpm.v=0,"",_xlpm.v))</f>
        <v>#N/A</v>
      </c>
      <c r="Z100" s="104" t="str">
        <f>_xlfn.LET(_xlpm.v,IF(ISTEXT(Y100),_xlfn.XLOOKUP(Y100,'JP-PINT'!A:A,'JP-PINT'!B:B),""),IF(ISERROR(_xlpm.v),"",_xlpm.v))</f>
        <v/>
      </c>
      <c r="AA100" s="227" t="s">
        <v>31</v>
      </c>
    </row>
    <row r="101" spans="1:27" s="228" customFormat="1" ht="12.75" customHeight="1">
      <c r="A101" s="4">
        <f>IF(ISTEXT(E101),_xlfn.XLOOKUP(E101,'[1]SME09-01_LHM'!$D:$D,'[1]SME09-01_LHM'!$B:$B))</f>
        <v>134</v>
      </c>
      <c r="B101" s="4">
        <f>_xlfn.XLOOKUP(F101,'[1]SME09-01_LHM'!$I:$I,'[1]SME09-01_LHM'!$B:$B)</f>
        <v>134</v>
      </c>
      <c r="C101" s="102">
        <f>ROW()-25</f>
        <v>76</v>
      </c>
      <c r="D101" s="103" t="s">
        <v>1138</v>
      </c>
      <c r="E101" s="103" t="s">
        <v>1721</v>
      </c>
      <c r="F101" s="93" t="s">
        <v>2130</v>
      </c>
      <c r="G101" s="105" t="s">
        <v>1720</v>
      </c>
      <c r="H101" s="103" t="s">
        <v>8</v>
      </c>
      <c r="I101" s="103" t="s">
        <v>74</v>
      </c>
      <c r="J101" s="222" t="s">
        <v>18</v>
      </c>
      <c r="K101" s="223" t="s">
        <v>18</v>
      </c>
      <c r="L101" s="223" t="s">
        <v>18</v>
      </c>
      <c r="M101" s="193"/>
      <c r="N101" s="229" t="s">
        <v>27</v>
      </c>
      <c r="O101" s="136"/>
      <c r="P101" s="105" t="s">
        <v>126</v>
      </c>
      <c r="Q101" s="105" t="s">
        <v>1719</v>
      </c>
      <c r="R101" s="105" t="s">
        <v>25</v>
      </c>
      <c r="S101" s="104"/>
      <c r="T101" s="106" t="s">
        <v>1139</v>
      </c>
      <c r="U101" s="106" t="s">
        <v>1139</v>
      </c>
      <c r="V101" s="105"/>
      <c r="W101" s="107" t="s">
        <v>25</v>
      </c>
      <c r="X101" s="107" t="s">
        <v>25</v>
      </c>
      <c r="Y101" s="192" t="str">
        <f>_xlfn.LET(_xlpm.v,_xlfn.XLOOKUP(E101,'[1]SME09-01_LHM'!$D:$D,'[1]SME09-01_LHM'!$AL:$AL),IF(_xlpm.v=0,"",_xlpm.v))</f>
        <v/>
      </c>
      <c r="Z101" s="104" t="str">
        <f>_xlfn.LET(_xlpm.v,IF(ISTEXT(Y101),_xlfn.XLOOKUP(Y101,'JP-PINT'!A:A,'JP-PINT'!B:B),""),IF(ISERROR(_xlpm.v),"",_xlpm.v))</f>
        <v/>
      </c>
      <c r="AA101" s="229" t="s">
        <v>24</v>
      </c>
    </row>
    <row r="102" spans="1:27" s="134" customFormat="1" ht="12.75" customHeight="1">
      <c r="A102" s="4">
        <f>IF(ISTEXT(E102),_xlfn.XLOOKUP(E102,'[1]SME09-01_LHM'!$D:$D,'[1]SME09-01_LHM'!$B:$B))</f>
        <v>136</v>
      </c>
      <c r="B102" s="4">
        <f>_xlfn.XLOOKUP(F102,'[1]SME09-01_LHM'!$I:$I,'[1]SME09-01_LHM'!$B:$B)</f>
        <v>136</v>
      </c>
      <c r="C102" s="102">
        <f>ROW()-25</f>
        <v>77</v>
      </c>
      <c r="D102" s="103" t="s">
        <v>1138</v>
      </c>
      <c r="E102" s="103" t="s">
        <v>1718</v>
      </c>
      <c r="F102" s="105" t="s">
        <v>1717</v>
      </c>
      <c r="G102" s="105" t="s">
        <v>1716</v>
      </c>
      <c r="H102" s="103" t="s">
        <v>128</v>
      </c>
      <c r="I102" s="103" t="s">
        <v>1711</v>
      </c>
      <c r="J102" s="222" t="s">
        <v>18</v>
      </c>
      <c r="K102" s="223" t="s">
        <v>18</v>
      </c>
      <c r="L102" s="223" t="s">
        <v>18</v>
      </c>
      <c r="M102" s="193"/>
      <c r="N102" s="229" t="s">
        <v>27</v>
      </c>
      <c r="O102" s="136"/>
      <c r="P102" s="105" t="s">
        <v>126</v>
      </c>
      <c r="Q102" s="105" t="s">
        <v>1715</v>
      </c>
      <c r="R102" s="105" t="s">
        <v>10</v>
      </c>
      <c r="S102" s="104"/>
      <c r="T102" s="106" t="s">
        <v>1139</v>
      </c>
      <c r="U102" s="106" t="s">
        <v>1139</v>
      </c>
      <c r="V102" s="105" t="s">
        <v>1139</v>
      </c>
      <c r="W102" s="107" t="s">
        <v>10</v>
      </c>
      <c r="X102" s="107" t="s">
        <v>10</v>
      </c>
      <c r="Y102" s="192" t="str">
        <f>_xlfn.LET(_xlpm.v,_xlfn.XLOOKUP(E102,'[1]SME09-01_LHM'!$D:$D,'[1]SME09-01_LHM'!$AL:$AL),IF(_xlpm.v=0,"",_xlpm.v))</f>
        <v/>
      </c>
      <c r="Z102" s="104" t="str">
        <f>_xlfn.LET(_xlpm.v,IF(ISTEXT(Y102),_xlfn.XLOOKUP(Y102,'JP-PINT'!A:A,'JP-PINT'!B:B),""),IF(ISERROR(_xlpm.v),"",_xlpm.v))</f>
        <v/>
      </c>
      <c r="AA102" s="229" t="s">
        <v>24</v>
      </c>
    </row>
    <row r="103" spans="1:27" s="134" customFormat="1" ht="12.75" customHeight="1">
      <c r="A103" s="4">
        <f>IF(ISTEXT(E103),_xlfn.XLOOKUP(E103,'[1]SME09-01_LHM'!$D:$D,'[1]SME09-01_LHM'!$B:$B))</f>
        <v>137</v>
      </c>
      <c r="B103" s="4">
        <f>_xlfn.XLOOKUP(F103,'[1]SME09-01_LHM'!$I:$I,'[1]SME09-01_LHM'!$B:$B)</f>
        <v>137</v>
      </c>
      <c r="C103" s="102">
        <f>ROW()-25</f>
        <v>78</v>
      </c>
      <c r="D103" s="103" t="s">
        <v>1138</v>
      </c>
      <c r="E103" s="103" t="s">
        <v>1714</v>
      </c>
      <c r="F103" s="105" t="s">
        <v>1713</v>
      </c>
      <c r="G103" s="105" t="s">
        <v>1712</v>
      </c>
      <c r="H103" s="103" t="s">
        <v>128</v>
      </c>
      <c r="I103" s="103" t="s">
        <v>1711</v>
      </c>
      <c r="J103" s="222" t="s">
        <v>18</v>
      </c>
      <c r="K103" s="223" t="s">
        <v>18</v>
      </c>
      <c r="L103" s="223" t="s">
        <v>18</v>
      </c>
      <c r="M103" s="193"/>
      <c r="N103" s="223" t="s">
        <v>46</v>
      </c>
      <c r="O103" s="136"/>
      <c r="P103" s="105" t="s">
        <v>126</v>
      </c>
      <c r="Q103" s="105" t="s">
        <v>1710</v>
      </c>
      <c r="R103" s="105" t="s">
        <v>10</v>
      </c>
      <c r="S103" s="104"/>
      <c r="T103" s="106"/>
      <c r="U103" s="106" t="s">
        <v>1139</v>
      </c>
      <c r="V103" s="105" t="s">
        <v>1139</v>
      </c>
      <c r="W103" s="107" t="s">
        <v>10</v>
      </c>
      <c r="X103" s="107" t="s">
        <v>10</v>
      </c>
      <c r="Y103" s="192" t="str">
        <f>_xlfn.LET(_xlpm.v,_xlfn.XLOOKUP(E103,'[1]SME09-01_LHM'!$D:$D,'[1]SME09-01_LHM'!$AL:$AL),IF(_xlpm.v=0,"",_xlpm.v))</f>
        <v>IBT-011</v>
      </c>
      <c r="Z103" s="104" t="str">
        <f>_xlfn.LET(_xlpm.v,IF(ISTEXT(Y103),_xlfn.XLOOKUP(Y103,'JP-PINT'!A:A,'JP-PINT'!B:B),""),IF(ISERROR(_xlpm.v),"",_xlpm.v))</f>
        <v>Project reference</v>
      </c>
      <c r="AA103" s="103" t="s">
        <v>8</v>
      </c>
    </row>
    <row r="104" spans="1:27" s="134" customFormat="1" ht="12.75" customHeight="1">
      <c r="A104" s="4">
        <f>IF(ISTEXT(E104),_xlfn.XLOOKUP(E104,'[1]SME09-01_LHM'!$D:$D,'[1]SME09-01_LHM'!$B:$B))</f>
        <v>143</v>
      </c>
      <c r="B104" s="4">
        <f>_xlfn.XLOOKUP(F104,'[1]SME09-01_LHM'!$I:$I,'[1]SME09-01_LHM'!$B:$B)</f>
        <v>143</v>
      </c>
      <c r="C104" s="102">
        <f>ROW()-25</f>
        <v>79</v>
      </c>
      <c r="D104" s="103" t="s">
        <v>1138</v>
      </c>
      <c r="E104" s="103" t="s">
        <v>1708</v>
      </c>
      <c r="F104" s="93" t="s">
        <v>2131</v>
      </c>
      <c r="G104" s="105" t="s">
        <v>1707</v>
      </c>
      <c r="H104" s="103" t="s">
        <v>31</v>
      </c>
      <c r="I104" s="103" t="s">
        <v>340</v>
      </c>
      <c r="J104" s="222" t="s">
        <v>66</v>
      </c>
      <c r="K104" s="223" t="s">
        <v>66</v>
      </c>
      <c r="L104" s="223" t="s">
        <v>66</v>
      </c>
      <c r="M104" s="193"/>
      <c r="N104" s="229" t="s">
        <v>27</v>
      </c>
      <c r="O104" s="136"/>
      <c r="P104" s="105" t="s">
        <v>126</v>
      </c>
      <c r="Q104" s="105" t="s">
        <v>1706</v>
      </c>
      <c r="R104" s="105" t="s">
        <v>25</v>
      </c>
      <c r="S104" s="104"/>
      <c r="T104" s="106" t="s">
        <v>1139</v>
      </c>
      <c r="U104" s="106" t="s">
        <v>1139</v>
      </c>
      <c r="V104" s="105" t="s">
        <v>1139</v>
      </c>
      <c r="W104" s="107" t="s">
        <v>25</v>
      </c>
      <c r="X104" s="107" t="s">
        <v>25</v>
      </c>
      <c r="Y104" s="192" t="str">
        <f>_xlfn.LET(_xlpm.v,_xlfn.XLOOKUP(E104,'[1]SME09-01_LHM'!$D:$D,'[1]SME09-01_LHM'!$AL:$AL),IF(_xlpm.v=0,"",_xlpm.v))</f>
        <v/>
      </c>
      <c r="Z104" s="104" t="str">
        <f>_xlfn.LET(_xlpm.v,IF(ISTEXT(Y104),_xlfn.XLOOKUP(Y104,'JP-PINT'!A:A,'JP-PINT'!B:B),""),IF(ISERROR(_xlpm.v),"",_xlpm.v))</f>
        <v/>
      </c>
      <c r="AA104" s="229" t="s">
        <v>24</v>
      </c>
    </row>
    <row r="105" spans="1:27" s="134" customFormat="1" ht="12.75" customHeight="1">
      <c r="A105" s="4">
        <f>IF(ISTEXT(E105),_xlfn.XLOOKUP(E105,'[1]SME09-01_LHM'!$D:$D,'[1]SME09-01_LHM'!$B:$B))</f>
        <v>145</v>
      </c>
      <c r="B105" s="4">
        <f>_xlfn.XLOOKUP(F105,'[1]SME09-01_LHM'!$I:$I,'[1]SME09-01_LHM'!$B:$B)</f>
        <v>145</v>
      </c>
      <c r="C105" s="102">
        <f>ROW()-25</f>
        <v>80</v>
      </c>
      <c r="D105" s="103" t="s">
        <v>1138</v>
      </c>
      <c r="E105" s="103" t="s">
        <v>1705</v>
      </c>
      <c r="F105" s="105" t="s">
        <v>1704</v>
      </c>
      <c r="G105" s="105" t="s">
        <v>1703</v>
      </c>
      <c r="H105" s="103" t="s">
        <v>8</v>
      </c>
      <c r="I105" s="103" t="s">
        <v>143</v>
      </c>
      <c r="J105" s="222" t="s">
        <v>66</v>
      </c>
      <c r="K105" s="223" t="s">
        <v>66</v>
      </c>
      <c r="L105" s="223" t="s">
        <v>66</v>
      </c>
      <c r="M105" s="193" t="s">
        <v>618</v>
      </c>
      <c r="N105" s="223" t="s">
        <v>72</v>
      </c>
      <c r="O105" s="136"/>
      <c r="P105" s="105" t="s">
        <v>126</v>
      </c>
      <c r="Q105" s="105" t="s">
        <v>1702</v>
      </c>
      <c r="R105" s="105" t="s">
        <v>10</v>
      </c>
      <c r="S105" s="104" t="s">
        <v>740</v>
      </c>
      <c r="T105" s="106" t="s">
        <v>13</v>
      </c>
      <c r="U105" s="106" t="s">
        <v>367</v>
      </c>
      <c r="V105" s="105" t="s">
        <v>738</v>
      </c>
      <c r="W105" s="107" t="s">
        <v>10</v>
      </c>
      <c r="X105" s="107" t="s">
        <v>10</v>
      </c>
      <c r="Y105" s="192" t="str">
        <f>_xlfn.LET(_xlpm.v,_xlfn.XLOOKUP(E105,'[1]SME09-01_LHM'!$D:$D,'[1]SME09-01_LHM'!$AL:$AL),IF(_xlpm.v=0,"",_xlpm.v))</f>
        <v>IBT-006</v>
      </c>
      <c r="Z105" s="104" t="str">
        <f>_xlfn.LET(_xlpm.v,IF(ISTEXT(Y105),_xlfn.XLOOKUP(Y105,'JP-PINT'!A:A,'JP-PINT'!B:B),""),IF(ISERROR(_xlpm.v),"",_xlpm.v))</f>
        <v>Tax accounting currency</v>
      </c>
      <c r="AA105" s="103" t="s">
        <v>8</v>
      </c>
    </row>
    <row r="106" spans="1:27" s="134" customFormat="1" ht="12.75" customHeight="1">
      <c r="A106" s="4">
        <f>IF(ISTEXT(E106),_xlfn.XLOOKUP(E106,'[1]SME09-01_LHM'!$D:$D,'[1]SME09-01_LHM'!$B:$B))</f>
        <v>146</v>
      </c>
      <c r="B106" s="4">
        <f>_xlfn.XLOOKUP(F106,'[1]SME09-01_LHM'!$I:$I,'[1]SME09-01_LHM'!$B:$B)</f>
        <v>146</v>
      </c>
      <c r="C106" s="102">
        <f>ROW()-25</f>
        <v>81</v>
      </c>
      <c r="D106" s="103" t="s">
        <v>1138</v>
      </c>
      <c r="E106" s="103" t="s">
        <v>1700</v>
      </c>
      <c r="F106" s="105" t="s">
        <v>1699</v>
      </c>
      <c r="G106" s="105" t="s">
        <v>1698</v>
      </c>
      <c r="H106" s="103" t="s">
        <v>31</v>
      </c>
      <c r="I106" s="103" t="s">
        <v>143</v>
      </c>
      <c r="J106" s="222" t="s">
        <v>66</v>
      </c>
      <c r="K106" s="223" t="s">
        <v>66</v>
      </c>
      <c r="L106" s="223" t="s">
        <v>66</v>
      </c>
      <c r="M106" s="193" t="s">
        <v>73</v>
      </c>
      <c r="N106" s="223" t="s">
        <v>34</v>
      </c>
      <c r="O106" s="136"/>
      <c r="P106" s="105" t="s">
        <v>126</v>
      </c>
      <c r="Q106" s="105" t="s">
        <v>1697</v>
      </c>
      <c r="R106" s="105" t="s">
        <v>10</v>
      </c>
      <c r="S106" s="104" t="s">
        <v>740</v>
      </c>
      <c r="T106" s="106" t="s">
        <v>13</v>
      </c>
      <c r="U106" s="103" t="s">
        <v>367</v>
      </c>
      <c r="V106" s="105" t="s">
        <v>738</v>
      </c>
      <c r="W106" s="107" t="s">
        <v>10</v>
      </c>
      <c r="X106" s="107" t="s">
        <v>10</v>
      </c>
      <c r="Y106" s="192" t="str">
        <f>_xlfn.LET(_xlpm.v,_xlfn.XLOOKUP(E106,'[1]SME09-01_LHM'!$D:$D,'[1]SME09-01_LHM'!$AL:$AL),IF(_xlpm.v=0,"",_xlpm.v))</f>
        <v>IBT-005</v>
      </c>
      <c r="Z106" s="104" t="str">
        <f>_xlfn.LET(_xlpm.v,IF(ISTEXT(Y106),_xlfn.XLOOKUP(Y106,'JP-PINT'!A:A,'JP-PINT'!B:B),""),IF(ISERROR(_xlpm.v),"",_xlpm.v))</f>
        <v>Invoice currency code</v>
      </c>
      <c r="AA106" s="103" t="s">
        <v>31</v>
      </c>
    </row>
    <row r="107" spans="1:27" s="134" customFormat="1" ht="12.75" customHeight="1">
      <c r="A107" s="4">
        <f>IF(ISTEXT(E107),_xlfn.XLOOKUP(E107,'[1]SME09-01_LHM'!$D:$D,'[1]SME09-01_LHM'!$B:$B))</f>
        <v>147</v>
      </c>
      <c r="B107" s="4">
        <f>_xlfn.XLOOKUP(F107,'[1]SME09-01_LHM'!$I:$I,'[1]SME09-01_LHM'!$B:$B)</f>
        <v>147</v>
      </c>
      <c r="C107" s="102">
        <f>ROW()-25</f>
        <v>82</v>
      </c>
      <c r="D107" s="103" t="s">
        <v>1138</v>
      </c>
      <c r="E107" s="103" t="s">
        <v>1695</v>
      </c>
      <c r="F107" s="105" t="s">
        <v>1694</v>
      </c>
      <c r="G107" s="105" t="s">
        <v>1693</v>
      </c>
      <c r="H107" s="103" t="s">
        <v>8</v>
      </c>
      <c r="I107" s="103" t="s">
        <v>143</v>
      </c>
      <c r="J107" s="222" t="s">
        <v>18</v>
      </c>
      <c r="K107" s="223" t="s">
        <v>18</v>
      </c>
      <c r="L107" s="223" t="s">
        <v>18</v>
      </c>
      <c r="M107" s="193"/>
      <c r="N107" s="229" t="s">
        <v>27</v>
      </c>
      <c r="O107" s="136"/>
      <c r="P107" s="105" t="s">
        <v>126</v>
      </c>
      <c r="Q107" s="105" t="s">
        <v>1692</v>
      </c>
      <c r="R107" s="105" t="s">
        <v>10</v>
      </c>
      <c r="S107" s="104" t="s">
        <v>740</v>
      </c>
      <c r="T107" s="103" t="s">
        <v>13</v>
      </c>
      <c r="U107" s="103" t="s">
        <v>1139</v>
      </c>
      <c r="V107" s="105" t="s">
        <v>1139</v>
      </c>
      <c r="W107" s="107" t="s">
        <v>10</v>
      </c>
      <c r="X107" s="107" t="s">
        <v>10</v>
      </c>
      <c r="Y107" s="192" t="str">
        <f>_xlfn.LET(_xlpm.v,_xlfn.XLOOKUP(E107,'[1]SME09-01_LHM'!$D:$D,'[1]SME09-01_LHM'!$AL:$AL),IF(_xlpm.v=0,"",_xlpm.v))</f>
        <v/>
      </c>
      <c r="Z107" s="104" t="str">
        <f>_xlfn.LET(_xlpm.v,IF(ISTEXT(Y107),_xlfn.XLOOKUP(Y107,'JP-PINT'!A:A,'JP-PINT'!B:B),""),IF(ISERROR(_xlpm.v),"",_xlpm.v))</f>
        <v/>
      </c>
      <c r="AA107" s="229" t="s">
        <v>24</v>
      </c>
    </row>
    <row r="108" spans="1:27" s="134" customFormat="1" ht="12.75" customHeight="1">
      <c r="A108" s="4">
        <f>IF(ISTEXT(E108),_xlfn.XLOOKUP(E108,'[1]SME09-01_LHM'!$D:$D,'[1]SME09-01_LHM'!$B:$B))</f>
        <v>148</v>
      </c>
      <c r="B108" s="4">
        <f>_xlfn.XLOOKUP(F108,'[1]SME09-01_LHM'!$I:$I,'[1]SME09-01_LHM'!$B:$B)</f>
        <v>148</v>
      </c>
      <c r="C108" s="102">
        <f>ROW()-25</f>
        <v>83</v>
      </c>
      <c r="D108" s="103" t="s">
        <v>1138</v>
      </c>
      <c r="E108" s="103" t="s">
        <v>1691</v>
      </c>
      <c r="F108" s="93" t="s">
        <v>2132</v>
      </c>
      <c r="G108" s="105" t="s">
        <v>1690</v>
      </c>
      <c r="H108" s="103" t="s">
        <v>8</v>
      </c>
      <c r="I108" s="103" t="s">
        <v>340</v>
      </c>
      <c r="J108" s="222" t="s">
        <v>18</v>
      </c>
      <c r="K108" s="224"/>
      <c r="L108" s="224"/>
      <c r="M108" s="193"/>
      <c r="N108" s="229" t="s">
        <v>27</v>
      </c>
      <c r="O108" s="136"/>
      <c r="P108" s="105" t="s">
        <v>126</v>
      </c>
      <c r="Q108" s="105" t="s">
        <v>1689</v>
      </c>
      <c r="R108" s="105" t="s">
        <v>25</v>
      </c>
      <c r="S108" s="104"/>
      <c r="T108" s="106" t="s">
        <v>1139</v>
      </c>
      <c r="U108" s="106" t="s">
        <v>1139</v>
      </c>
      <c r="V108" s="105" t="s">
        <v>1139</v>
      </c>
      <c r="W108" s="107"/>
      <c r="X108" s="107"/>
      <c r="Y108" s="192" t="str">
        <f>_xlfn.LET(_xlpm.v,_xlfn.XLOOKUP(E108,'[1]SME09-01_LHM'!$D:$D,'[1]SME09-01_LHM'!$AL:$AL),IF(_xlpm.v=0,"",_xlpm.v))</f>
        <v/>
      </c>
      <c r="Z108" s="104" t="str">
        <f>_xlfn.LET(_xlpm.v,IF(ISTEXT(Y108),_xlfn.XLOOKUP(Y108,'JP-PINT'!A:A,'JP-PINT'!B:B),""),IF(ISERROR(_xlpm.v),"",_xlpm.v))</f>
        <v/>
      </c>
      <c r="AA108" s="229" t="s">
        <v>24</v>
      </c>
    </row>
    <row r="109" spans="1:27" s="137" customFormat="1" ht="12.75" customHeight="1">
      <c r="A109" s="4">
        <f>IF(ISTEXT(E109),_xlfn.XLOOKUP(E109,'[1]SME09-01_LHM'!$D:$D,'[1]SME09-01_LHM'!$B:$B))</f>
        <v>150</v>
      </c>
      <c r="B109" s="4">
        <f>_xlfn.XLOOKUP(F109,'[1]SME09-01_LHM'!$I:$I,'[1]SME09-01_LHM'!$B:$B)</f>
        <v>150</v>
      </c>
      <c r="C109" s="102">
        <f>ROW()-25</f>
        <v>84</v>
      </c>
      <c r="D109" s="103" t="s">
        <v>1138</v>
      </c>
      <c r="E109" s="103" t="s">
        <v>1688</v>
      </c>
      <c r="F109" s="105" t="s">
        <v>1687</v>
      </c>
      <c r="G109" s="105" t="s">
        <v>1686</v>
      </c>
      <c r="H109" s="103" t="s">
        <v>8</v>
      </c>
      <c r="I109" s="103" t="s">
        <v>340</v>
      </c>
      <c r="J109" s="222" t="s">
        <v>18</v>
      </c>
      <c r="K109" s="224"/>
      <c r="L109" s="224"/>
      <c r="M109" s="193"/>
      <c r="N109" s="229" t="s">
        <v>27</v>
      </c>
      <c r="O109" s="136"/>
      <c r="P109" s="105" t="s">
        <v>126</v>
      </c>
      <c r="Q109" s="105" t="s">
        <v>1026</v>
      </c>
      <c r="R109" s="105" t="s">
        <v>10</v>
      </c>
      <c r="S109" s="104"/>
      <c r="T109" s="106" t="s">
        <v>1139</v>
      </c>
      <c r="U109" s="106" t="s">
        <v>1139</v>
      </c>
      <c r="V109" s="105" t="s">
        <v>1139</v>
      </c>
      <c r="W109" s="107"/>
      <c r="X109" s="107"/>
      <c r="Y109" s="192" t="str">
        <f>_xlfn.LET(_xlpm.v,_xlfn.XLOOKUP(E109,'[1]SME09-01_LHM'!$D:$D,'[1]SME09-01_LHM'!$AL:$AL),IF(_xlpm.v=0,"",_xlpm.v))</f>
        <v/>
      </c>
      <c r="Z109" s="104" t="str">
        <f>_xlfn.LET(_xlpm.v,IF(ISTEXT(Y109),_xlfn.XLOOKUP(Y109,'JP-PINT'!A:A,'JP-PINT'!B:B),""),IF(ISERROR(_xlpm.v),"",_xlpm.v))</f>
        <v/>
      </c>
      <c r="AA109" s="229" t="s">
        <v>24</v>
      </c>
    </row>
    <row r="110" spans="1:27" s="137" customFormat="1" ht="12.75" customHeight="1">
      <c r="A110" s="4">
        <f>IF(ISTEXT(E110),_xlfn.XLOOKUP(E110,'[1]SME09-01_LHM'!$D:$D,'[1]SME09-01_LHM'!$B:$B))</f>
        <v>151</v>
      </c>
      <c r="B110" s="4">
        <f>_xlfn.XLOOKUP(F110,'[1]SME09-01_LHM'!$I:$I,'[1]SME09-01_LHM'!$B:$B)</f>
        <v>151</v>
      </c>
      <c r="C110" s="102">
        <f>ROW()-25</f>
        <v>85</v>
      </c>
      <c r="D110" s="103" t="s">
        <v>1138</v>
      </c>
      <c r="E110" s="103" t="s">
        <v>1685</v>
      </c>
      <c r="F110" s="105" t="s">
        <v>1684</v>
      </c>
      <c r="G110" s="105" t="s">
        <v>1619</v>
      </c>
      <c r="H110" s="103" t="s">
        <v>8</v>
      </c>
      <c r="I110" s="103" t="s">
        <v>340</v>
      </c>
      <c r="J110" s="222" t="s">
        <v>18</v>
      </c>
      <c r="K110" s="224"/>
      <c r="L110" s="224"/>
      <c r="M110" s="193"/>
      <c r="N110" s="229" t="s">
        <v>27</v>
      </c>
      <c r="O110" s="136"/>
      <c r="P110" s="105" t="s">
        <v>126</v>
      </c>
      <c r="Q110" s="105" t="s">
        <v>1022</v>
      </c>
      <c r="R110" s="105" t="s">
        <v>10</v>
      </c>
      <c r="S110" s="104" t="s">
        <v>1021</v>
      </c>
      <c r="T110" s="106" t="s">
        <v>13</v>
      </c>
      <c r="U110" s="106" t="s">
        <v>1139</v>
      </c>
      <c r="V110" s="105" t="s">
        <v>1139</v>
      </c>
      <c r="W110" s="107"/>
      <c r="X110" s="107"/>
      <c r="Y110" s="192" t="str">
        <f>_xlfn.LET(_xlpm.v,_xlfn.XLOOKUP(E110,'[1]SME09-01_LHM'!$D:$D,'[1]SME09-01_LHM'!$AL:$AL),IF(_xlpm.v=0,"",_xlpm.v))</f>
        <v/>
      </c>
      <c r="Z110" s="104" t="str">
        <f>_xlfn.LET(_xlpm.v,IF(ISTEXT(Y110),_xlfn.XLOOKUP(Y110,'JP-PINT'!A:A,'JP-PINT'!B:B),""),IF(ISERROR(_xlpm.v),"",_xlpm.v))</f>
        <v/>
      </c>
      <c r="AA110" s="229" t="s">
        <v>24</v>
      </c>
    </row>
    <row r="111" spans="1:27" s="137" customFormat="1" ht="12.75" customHeight="1">
      <c r="A111" s="4">
        <f>IF(ISTEXT(E111),_xlfn.XLOOKUP(E111,'[1]SME09-01_LHM'!$D:$D,'[1]SME09-01_LHM'!$B:$B))</f>
        <v>152</v>
      </c>
      <c r="B111" s="4">
        <f>_xlfn.XLOOKUP(F111,'[1]SME09-01_LHM'!$I:$I,'[1]SME09-01_LHM'!$B:$B)</f>
        <v>152</v>
      </c>
      <c r="C111" s="102">
        <f>ROW()-25</f>
        <v>86</v>
      </c>
      <c r="D111" s="103" t="s">
        <v>1138</v>
      </c>
      <c r="E111" s="103" t="s">
        <v>1683</v>
      </c>
      <c r="F111" s="105" t="s">
        <v>1682</v>
      </c>
      <c r="G111" s="105" t="s">
        <v>1681</v>
      </c>
      <c r="H111" s="103" t="s">
        <v>8</v>
      </c>
      <c r="I111" s="103" t="s">
        <v>340</v>
      </c>
      <c r="J111" s="222" t="s">
        <v>18</v>
      </c>
      <c r="K111" s="224"/>
      <c r="L111" s="224"/>
      <c r="M111" s="193"/>
      <c r="N111" s="229" t="s">
        <v>27</v>
      </c>
      <c r="O111" s="136"/>
      <c r="P111" s="105" t="s">
        <v>126</v>
      </c>
      <c r="Q111" s="105" t="s">
        <v>1016</v>
      </c>
      <c r="R111" s="105" t="s">
        <v>10</v>
      </c>
      <c r="S111" s="104"/>
      <c r="T111" s="106"/>
      <c r="U111" s="106" t="s">
        <v>1139</v>
      </c>
      <c r="V111" s="105" t="s">
        <v>1139</v>
      </c>
      <c r="W111" s="107"/>
      <c r="X111" s="107"/>
      <c r="Y111" s="192" t="str">
        <f>_xlfn.LET(_xlpm.v,_xlfn.XLOOKUP(E111,'[1]SME09-01_LHM'!$D:$D,'[1]SME09-01_LHM'!$AL:$AL),IF(_xlpm.v=0,"",_xlpm.v))</f>
        <v/>
      </c>
      <c r="Z111" s="104" t="str">
        <f>_xlfn.LET(_xlpm.v,IF(ISTEXT(Y111),_xlfn.XLOOKUP(Y111,'JP-PINT'!A:A,'JP-PINT'!B:B),""),IF(ISERROR(_xlpm.v),"",_xlpm.v))</f>
        <v/>
      </c>
      <c r="AA111" s="229" t="s">
        <v>24</v>
      </c>
    </row>
    <row r="112" spans="1:27" s="137" customFormat="1" ht="12.75" customHeight="1">
      <c r="A112" s="4">
        <f>IF(ISTEXT(E112),_xlfn.XLOOKUP(E112,'[1]SME09-01_LHM'!$D:$D,'[1]SME09-01_LHM'!$B:$B))</f>
        <v>180.3</v>
      </c>
      <c r="B112" s="4">
        <f>_xlfn.XLOOKUP(F112,'[1]SME09-01_LHM'!$I:$I,'[1]SME09-01_LHM'!$B:$B)</f>
        <v>180.3</v>
      </c>
      <c r="C112" s="102">
        <f>ROW()-25</f>
        <v>87</v>
      </c>
      <c r="D112" s="221" t="s">
        <v>1138</v>
      </c>
      <c r="E112" s="221" t="s">
        <v>1680</v>
      </c>
      <c r="F112" s="217" t="s">
        <v>1679</v>
      </c>
      <c r="G112" s="217" t="s">
        <v>1678</v>
      </c>
      <c r="H112" s="221" t="s">
        <v>8</v>
      </c>
      <c r="I112" s="221" t="s">
        <v>340</v>
      </c>
      <c r="J112" s="235" t="s">
        <v>18</v>
      </c>
      <c r="K112" s="224"/>
      <c r="L112" s="224"/>
      <c r="M112" s="237"/>
      <c r="N112" s="229" t="s">
        <v>27</v>
      </c>
      <c r="O112" s="136"/>
      <c r="P112" s="217" t="s">
        <v>126</v>
      </c>
      <c r="Q112" s="217" t="s">
        <v>1677</v>
      </c>
      <c r="R112" s="217" t="s">
        <v>10</v>
      </c>
      <c r="S112" s="218" t="s">
        <v>1021</v>
      </c>
      <c r="T112" s="219" t="s">
        <v>13</v>
      </c>
      <c r="U112" s="219" t="s">
        <v>1139</v>
      </c>
      <c r="V112" s="244" t="s">
        <v>1139</v>
      </c>
      <c r="W112" s="107"/>
      <c r="X112" s="107"/>
      <c r="Y112" s="192" t="str">
        <f>_xlfn.LET(_xlpm.v,_xlfn.XLOOKUP(E112,'[1]SME09-01_LHM'!$D:$D,'[1]SME09-01_LHM'!$AL:$AL),IF(_xlpm.v=0,"",_xlpm.v))</f>
        <v/>
      </c>
      <c r="Z112" s="104" t="str">
        <f>_xlfn.LET(_xlpm.v,IF(ISTEXT(Y112),_xlfn.XLOOKUP(Y112,'JP-PINT'!A:A,'JP-PINT'!B:B),""),IF(ISERROR(_xlpm.v),"",_xlpm.v))</f>
        <v/>
      </c>
      <c r="AA112" s="229" t="s">
        <v>24</v>
      </c>
    </row>
    <row r="113" spans="1:27" s="134" customFormat="1" ht="12.75" customHeight="1">
      <c r="A113" s="4" t="e">
        <f>IF(ISTEXT(E113),_xlfn.XLOOKUP(E113,'[1]SME09-01_LHM'!$D:$D,'[1]SME09-01_LHM'!$B:$B))</f>
        <v>#N/A</v>
      </c>
      <c r="B113" s="4" t="e">
        <f>_xlfn.XLOOKUP(F113,'[1]SME09-01_LHM'!$I:$I,'[1]SME09-01_LHM'!$B:$B)</f>
        <v>#N/A</v>
      </c>
      <c r="C113" s="102">
        <f>ROW()-25</f>
        <v>88</v>
      </c>
      <c r="D113" s="221" t="s">
        <v>1138</v>
      </c>
      <c r="E113" s="221" t="s">
        <v>1676</v>
      </c>
      <c r="F113" s="217" t="s">
        <v>1675</v>
      </c>
      <c r="G113" s="217" t="s">
        <v>1674</v>
      </c>
      <c r="H113" s="221" t="s">
        <v>31</v>
      </c>
      <c r="I113" s="221" t="s">
        <v>19</v>
      </c>
      <c r="J113" s="235" t="s">
        <v>18</v>
      </c>
      <c r="K113" s="224"/>
      <c r="L113" s="224"/>
      <c r="M113" s="237"/>
      <c r="N113" s="229" t="s">
        <v>27</v>
      </c>
      <c r="O113" s="136"/>
      <c r="P113" s="217" t="s">
        <v>126</v>
      </c>
      <c r="Q113" s="217" t="s">
        <v>1673</v>
      </c>
      <c r="R113" s="217" t="s">
        <v>10</v>
      </c>
      <c r="S113" s="218" t="s">
        <v>64</v>
      </c>
      <c r="T113" s="219" t="s">
        <v>63</v>
      </c>
      <c r="U113" s="219" t="s">
        <v>1139</v>
      </c>
      <c r="V113" s="217" t="s">
        <v>1139</v>
      </c>
      <c r="W113" s="107"/>
      <c r="X113" s="107"/>
      <c r="Y113" s="192" t="e">
        <f>_xlfn.LET(_xlpm.v,_xlfn.XLOOKUP(E113,'[1]SME09-01_LHM'!$D:$D,'[1]SME09-01_LHM'!$AL:$AL),IF(_xlpm.v=0,"",_xlpm.v))</f>
        <v>#N/A</v>
      </c>
      <c r="Z113" s="104" t="str">
        <f>_xlfn.LET(_xlpm.v,IF(ISTEXT(Y113),_xlfn.XLOOKUP(Y113,'JP-PINT'!A:A,'JP-PINT'!B:B),""),IF(ISERROR(_xlpm.v),"",_xlpm.v))</f>
        <v/>
      </c>
      <c r="AA113" s="229" t="s">
        <v>24</v>
      </c>
    </row>
    <row r="114" spans="1:27" s="134" customFormat="1" ht="12.75" customHeight="1">
      <c r="A114" s="4">
        <f>IF(ISTEXT(E114),_xlfn.XLOOKUP(E114,'[1]SME09-01_LHM'!$D:$D,'[1]SME09-01_LHM'!$B:$B))</f>
        <v>155</v>
      </c>
      <c r="B114" s="4">
        <f>_xlfn.XLOOKUP(F114,'[1]SME09-01_LHM'!$I:$I,'[1]SME09-01_LHM'!$B:$B)</f>
        <v>155</v>
      </c>
      <c r="C114" s="102">
        <f>ROW()-25</f>
        <v>89</v>
      </c>
      <c r="D114" s="103" t="s">
        <v>1138</v>
      </c>
      <c r="E114" s="103" t="s">
        <v>1672</v>
      </c>
      <c r="F114" s="93" t="s">
        <v>2133</v>
      </c>
      <c r="G114" s="105" t="s">
        <v>1497</v>
      </c>
      <c r="H114" s="103" t="s">
        <v>8</v>
      </c>
      <c r="I114" s="103" t="s">
        <v>340</v>
      </c>
      <c r="J114" s="222" t="s">
        <v>18</v>
      </c>
      <c r="K114" s="224"/>
      <c r="L114" s="224"/>
      <c r="M114" s="193"/>
      <c r="N114" s="229" t="s">
        <v>27</v>
      </c>
      <c r="O114" s="136"/>
      <c r="P114" s="105" t="s">
        <v>126</v>
      </c>
      <c r="Q114" s="105" t="s">
        <v>1496</v>
      </c>
      <c r="R114" s="105" t="s">
        <v>25</v>
      </c>
      <c r="S114" s="104"/>
      <c r="T114" s="106" t="s">
        <v>1139</v>
      </c>
      <c r="U114" s="106" t="s">
        <v>1139</v>
      </c>
      <c r="V114" s="105" t="s">
        <v>1139</v>
      </c>
      <c r="W114" s="107"/>
      <c r="X114" s="107"/>
      <c r="Y114" s="192" t="str">
        <f>_xlfn.LET(_xlpm.v,_xlfn.XLOOKUP(E114,'[1]SME09-01_LHM'!$D:$D,'[1]SME09-01_LHM'!$AL:$AL),IF(_xlpm.v=0,"",_xlpm.v))</f>
        <v/>
      </c>
      <c r="Z114" s="104" t="str">
        <f>_xlfn.LET(_xlpm.v,IF(ISTEXT(Y114),_xlfn.XLOOKUP(Y114,'JP-PINT'!A:A,'JP-PINT'!B:B),""),IF(ISERROR(_xlpm.v),"",_xlpm.v))</f>
        <v/>
      </c>
      <c r="AA114" s="229" t="s">
        <v>24</v>
      </c>
    </row>
    <row r="115" spans="1:27" s="137" customFormat="1" ht="12.75" customHeight="1">
      <c r="A115" s="4">
        <f>IF(ISTEXT(E115),_xlfn.XLOOKUP(E115,'[1]SME09-01_LHM'!$D:$D,'[1]SME09-01_LHM'!$B:$B))</f>
        <v>157</v>
      </c>
      <c r="B115" s="4">
        <f>_xlfn.XLOOKUP(F115,'[1]SME09-01_LHM'!$I:$I,'[1]SME09-01_LHM'!$B:$B)</f>
        <v>157</v>
      </c>
      <c r="C115" s="102">
        <f>ROW()-25</f>
        <v>90</v>
      </c>
      <c r="D115" s="103" t="s">
        <v>1138</v>
      </c>
      <c r="E115" s="103" t="s">
        <v>1671</v>
      </c>
      <c r="F115" s="105" t="s">
        <v>1670</v>
      </c>
      <c r="G115" s="105" t="s">
        <v>1669</v>
      </c>
      <c r="H115" s="103" t="s">
        <v>8</v>
      </c>
      <c r="I115" s="103" t="s">
        <v>340</v>
      </c>
      <c r="J115" s="222" t="s">
        <v>18</v>
      </c>
      <c r="K115" s="224"/>
      <c r="L115" s="224"/>
      <c r="M115" s="193"/>
      <c r="N115" s="229" t="s">
        <v>27</v>
      </c>
      <c r="O115" s="136"/>
      <c r="P115" s="105" t="s">
        <v>126</v>
      </c>
      <c r="Q115" s="105" t="s">
        <v>1492</v>
      </c>
      <c r="R115" s="105" t="s">
        <v>10</v>
      </c>
      <c r="S115" s="104"/>
      <c r="T115" s="106" t="s">
        <v>1139</v>
      </c>
      <c r="U115" s="106" t="s">
        <v>1139</v>
      </c>
      <c r="V115" s="105" t="s">
        <v>1139</v>
      </c>
      <c r="W115" s="107"/>
      <c r="X115" s="107"/>
      <c r="Y115" s="192" t="str">
        <f>_xlfn.LET(_xlpm.v,_xlfn.XLOOKUP(E115,'[1]SME09-01_LHM'!$D:$D,'[1]SME09-01_LHM'!$AL:$AL),IF(_xlpm.v=0,"",_xlpm.v))</f>
        <v/>
      </c>
      <c r="Z115" s="104" t="str">
        <f>_xlfn.LET(_xlpm.v,IF(ISTEXT(Y115),_xlfn.XLOOKUP(Y115,'JP-PINT'!A:A,'JP-PINT'!B:B),""),IF(ISERROR(_xlpm.v),"",_xlpm.v))</f>
        <v/>
      </c>
      <c r="AA115" s="229" t="s">
        <v>24</v>
      </c>
    </row>
    <row r="116" spans="1:27" s="134" customFormat="1" ht="12.75" customHeight="1">
      <c r="A116" s="4">
        <f>IF(ISTEXT(E116),_xlfn.XLOOKUP(E116,'[1]SME09-01_LHM'!$D:$D,'[1]SME09-01_LHM'!$B:$B))</f>
        <v>158</v>
      </c>
      <c r="B116" s="4">
        <f>_xlfn.XLOOKUP(F116,'[1]SME09-01_LHM'!$I:$I,'[1]SME09-01_LHM'!$B:$B)</f>
        <v>158</v>
      </c>
      <c r="C116" s="102">
        <f>ROW()-25</f>
        <v>91</v>
      </c>
      <c r="D116" s="103" t="s">
        <v>1138</v>
      </c>
      <c r="E116" s="103" t="s">
        <v>1668</v>
      </c>
      <c r="F116" s="105" t="s">
        <v>1667</v>
      </c>
      <c r="G116" s="104" t="s">
        <v>1666</v>
      </c>
      <c r="H116" s="103" t="s">
        <v>8</v>
      </c>
      <c r="I116" s="103" t="s">
        <v>340</v>
      </c>
      <c r="J116" s="222" t="s">
        <v>18</v>
      </c>
      <c r="K116" s="224"/>
      <c r="L116" s="224"/>
      <c r="M116" s="193"/>
      <c r="N116" s="229" t="s">
        <v>27</v>
      </c>
      <c r="O116" s="136"/>
      <c r="P116" s="105" t="s">
        <v>126</v>
      </c>
      <c r="Q116" s="105" t="s">
        <v>1488</v>
      </c>
      <c r="R116" s="105" t="s">
        <v>10</v>
      </c>
      <c r="S116" s="104"/>
      <c r="T116" s="106"/>
      <c r="U116" s="106" t="s">
        <v>1139</v>
      </c>
      <c r="V116" s="105" t="s">
        <v>1139</v>
      </c>
      <c r="W116" s="107"/>
      <c r="X116" s="107"/>
      <c r="Y116" s="192" t="str">
        <f>_xlfn.LET(_xlpm.v,_xlfn.XLOOKUP(E116,'[1]SME09-01_LHM'!$D:$D,'[1]SME09-01_LHM'!$AL:$AL),IF(_xlpm.v=0,"",_xlpm.v))</f>
        <v/>
      </c>
      <c r="Z116" s="104" t="str">
        <f>_xlfn.LET(_xlpm.v,IF(ISTEXT(Y116),_xlfn.XLOOKUP(Y116,'JP-PINT'!A:A,'JP-PINT'!B:B),""),IF(ISERROR(_xlpm.v),"",_xlpm.v))</f>
        <v/>
      </c>
      <c r="AA116" s="229" t="s">
        <v>24</v>
      </c>
    </row>
    <row r="117" spans="1:27" s="134" customFormat="1" ht="12.75" customHeight="1">
      <c r="A117" s="4">
        <f>IF(ISTEXT(E117),_xlfn.XLOOKUP(E117,'[1]SME09-01_LHM'!$D:$D,'[1]SME09-01_LHM'!$B:$B))</f>
        <v>159</v>
      </c>
      <c r="B117" s="4">
        <f>_xlfn.XLOOKUP(F117,'[1]SME09-01_LHM'!$I:$I,'[1]SME09-01_LHM'!$B:$B)</f>
        <v>159</v>
      </c>
      <c r="C117" s="102">
        <f>ROW()-25</f>
        <v>92</v>
      </c>
      <c r="D117" s="103" t="s">
        <v>1138</v>
      </c>
      <c r="E117" s="103" t="s">
        <v>1665</v>
      </c>
      <c r="F117" s="105" t="s">
        <v>1664</v>
      </c>
      <c r="G117" s="105" t="s">
        <v>1663</v>
      </c>
      <c r="H117" s="103" t="s">
        <v>8</v>
      </c>
      <c r="I117" s="103" t="s">
        <v>340</v>
      </c>
      <c r="J117" s="222" t="s">
        <v>18</v>
      </c>
      <c r="K117" s="224"/>
      <c r="L117" s="224"/>
      <c r="M117" s="193"/>
      <c r="N117" s="229" t="s">
        <v>27</v>
      </c>
      <c r="O117" s="136"/>
      <c r="P117" s="105" t="s">
        <v>126</v>
      </c>
      <c r="Q117" s="105" t="s">
        <v>1484</v>
      </c>
      <c r="R117" s="105" t="s">
        <v>10</v>
      </c>
      <c r="S117" s="104"/>
      <c r="T117" s="106"/>
      <c r="U117" s="106" t="s">
        <v>1139</v>
      </c>
      <c r="V117" s="105" t="s">
        <v>1139</v>
      </c>
      <c r="W117" s="107"/>
      <c r="X117" s="107"/>
      <c r="Y117" s="192" t="str">
        <f>_xlfn.LET(_xlpm.v,_xlfn.XLOOKUP(E117,'[1]SME09-01_LHM'!$D:$D,'[1]SME09-01_LHM'!$AL:$AL),IF(_xlpm.v=0,"",_xlpm.v))</f>
        <v/>
      </c>
      <c r="Z117" s="104" t="str">
        <f>_xlfn.LET(_xlpm.v,IF(ISTEXT(Y117),_xlfn.XLOOKUP(Y117,'JP-PINT'!A:A,'JP-PINT'!B:B),""),IF(ISERROR(_xlpm.v),"",_xlpm.v))</f>
        <v/>
      </c>
      <c r="AA117" s="229" t="s">
        <v>24</v>
      </c>
    </row>
    <row r="118" spans="1:27" s="6" customFormat="1" ht="12.75" customHeight="1">
      <c r="A118" s="4">
        <f>IF(ISTEXT(E118),_xlfn.XLOOKUP(E118,'[1]SME09-01_LHM'!$D:$D,'[1]SME09-01_LHM'!$B:$B))</f>
        <v>160</v>
      </c>
      <c r="B118" s="4">
        <f>_xlfn.XLOOKUP(F118,'[1]SME09-01_LHM'!$I:$I,'[1]SME09-01_LHM'!$B:$B)</f>
        <v>160</v>
      </c>
      <c r="C118" s="22">
        <f>ROW()-25</f>
        <v>93</v>
      </c>
      <c r="D118" s="16" t="s">
        <v>1138</v>
      </c>
      <c r="E118" s="16" t="s">
        <v>1662</v>
      </c>
      <c r="F118" s="18" t="s">
        <v>1661</v>
      </c>
      <c r="G118" s="18" t="s">
        <v>1660</v>
      </c>
      <c r="H118" s="16" t="s">
        <v>8</v>
      </c>
      <c r="I118" s="16" t="s">
        <v>143</v>
      </c>
      <c r="J118" s="188" t="s">
        <v>18</v>
      </c>
      <c r="K118" s="242"/>
      <c r="L118" s="242"/>
      <c r="M118" s="186"/>
      <c r="N118" s="243" t="s">
        <v>27</v>
      </c>
      <c r="O118" s="7"/>
      <c r="P118" s="105" t="s">
        <v>126</v>
      </c>
      <c r="Q118" s="105" t="s">
        <v>1480</v>
      </c>
      <c r="R118" s="105" t="s">
        <v>10</v>
      </c>
      <c r="S118" s="104"/>
      <c r="T118" s="106" t="s">
        <v>1139</v>
      </c>
      <c r="U118" s="106" t="s">
        <v>1139</v>
      </c>
      <c r="V118" s="105" t="s">
        <v>1139</v>
      </c>
      <c r="W118" s="3"/>
      <c r="X118" s="3"/>
      <c r="Y118" s="182" t="str">
        <f>_xlfn.LET(_xlpm.v,_xlfn.XLOOKUP(E118,'[1]SME09-01_LHM'!$D:$D,'[1]SME09-01_LHM'!$AL:$AL),IF(_xlpm.v=0,"",_xlpm.v))</f>
        <v/>
      </c>
      <c r="Z118" s="104" t="str">
        <f>_xlfn.LET(_xlpm.v,IF(ISTEXT(Y118),_xlfn.XLOOKUP(Y118,'JP-PINT'!A:A,'JP-PINT'!B:B),""),IF(ISERROR(_xlpm.v),"",_xlpm.v))</f>
        <v/>
      </c>
      <c r="AA118" s="243" t="s">
        <v>24</v>
      </c>
    </row>
    <row r="119" spans="1:27" ht="12.75" customHeight="1">
      <c r="A119" s="4">
        <f>IF(ISTEXT(E119),_xlfn.XLOOKUP(E119,'[1]SME09-01_LHM'!$D:$D,'[1]SME09-01_LHM'!$B:$B))</f>
        <v>163</v>
      </c>
      <c r="B119" s="4">
        <f>_xlfn.XLOOKUP(F119,'[1]SME09-01_LHM'!$I:$I,'[1]SME09-01_LHM'!$B:$B)</f>
        <v>163</v>
      </c>
      <c r="C119" s="22">
        <f>ROW()-25</f>
        <v>94</v>
      </c>
      <c r="D119" s="16" t="s">
        <v>1138</v>
      </c>
      <c r="E119" s="16" t="s">
        <v>1659</v>
      </c>
      <c r="F119" s="18" t="s">
        <v>1658</v>
      </c>
      <c r="G119" s="18" t="s">
        <v>1657</v>
      </c>
      <c r="H119" s="16" t="s">
        <v>8</v>
      </c>
      <c r="I119" s="16" t="s">
        <v>340</v>
      </c>
      <c r="J119" s="188" t="s">
        <v>18</v>
      </c>
      <c r="K119" s="242"/>
      <c r="L119" s="242"/>
      <c r="M119" s="186"/>
      <c r="N119" s="243" t="s">
        <v>27</v>
      </c>
      <c r="P119" s="105" t="s">
        <v>126</v>
      </c>
      <c r="Q119" s="104" t="s">
        <v>1473</v>
      </c>
      <c r="R119" s="105" t="s">
        <v>10</v>
      </c>
      <c r="S119" s="104"/>
      <c r="T119" s="103" t="s">
        <v>1139</v>
      </c>
      <c r="U119" s="103" t="s">
        <v>1139</v>
      </c>
      <c r="V119" s="105" t="s">
        <v>1139</v>
      </c>
      <c r="Y119" s="182" t="str">
        <f>_xlfn.LET(_xlpm.v,_xlfn.XLOOKUP(E119,'[1]SME09-01_LHM'!$D:$D,'[1]SME09-01_LHM'!$AL:$AL),IF(_xlpm.v=0,"",_xlpm.v))</f>
        <v/>
      </c>
      <c r="Z119" s="104" t="str">
        <f>_xlfn.LET(_xlpm.v,IF(ISTEXT(Y119),_xlfn.XLOOKUP(Y119,'JP-PINT'!A:A,'JP-PINT'!B:B),""),IF(ISERROR(_xlpm.v),"",_xlpm.v))</f>
        <v/>
      </c>
      <c r="AA119" s="243" t="s">
        <v>24</v>
      </c>
    </row>
    <row r="120" spans="1:27" ht="12.75" customHeight="1">
      <c r="A120" s="4">
        <f>IF(ISTEXT(E120),_xlfn.XLOOKUP(E120,'[1]SME09-01_LHM'!$D:$D,'[1]SME09-01_LHM'!$B:$B))</f>
        <v>166</v>
      </c>
      <c r="B120" s="4">
        <f>_xlfn.XLOOKUP(F120,'[1]SME09-01_LHM'!$I:$I,'[1]SME09-01_LHM'!$B:$B)</f>
        <v>166</v>
      </c>
      <c r="C120" s="22">
        <f>ROW()-25</f>
        <v>95</v>
      </c>
      <c r="D120" s="23" t="s">
        <v>1138</v>
      </c>
      <c r="E120" s="16" t="s">
        <v>1656</v>
      </c>
      <c r="F120" s="22" t="s">
        <v>1655</v>
      </c>
      <c r="G120" s="22" t="s">
        <v>1654</v>
      </c>
      <c r="H120" s="16" t="s">
        <v>8</v>
      </c>
      <c r="I120" s="16" t="s">
        <v>143</v>
      </c>
      <c r="J120" s="21" t="s">
        <v>18</v>
      </c>
      <c r="K120" s="242"/>
      <c r="L120" s="242"/>
      <c r="M120" s="19"/>
      <c r="N120" s="243" t="s">
        <v>27</v>
      </c>
      <c r="P120" s="102" t="s">
        <v>126</v>
      </c>
      <c r="Q120" s="104" t="s">
        <v>1473</v>
      </c>
      <c r="R120" s="105" t="s">
        <v>10</v>
      </c>
      <c r="S120" s="104"/>
      <c r="T120" s="103" t="s">
        <v>1139</v>
      </c>
      <c r="U120" s="103" t="s">
        <v>1139</v>
      </c>
      <c r="V120" s="105" t="s">
        <v>1139</v>
      </c>
      <c r="Y120" s="182" t="str">
        <f>_xlfn.LET(_xlpm.v,_xlfn.XLOOKUP(E120,'[1]SME09-01_LHM'!$D:$D,'[1]SME09-01_LHM'!$AL:$AL),IF(_xlpm.v=0,"",_xlpm.v))</f>
        <v/>
      </c>
      <c r="Z120" s="104" t="str">
        <f>_xlfn.LET(_xlpm.v,IF(ISTEXT(Y120),_xlfn.XLOOKUP(Y120,'JP-PINT'!A:A,'JP-PINT'!B:B),""),IF(ISERROR(_xlpm.v),"",_xlpm.v))</f>
        <v/>
      </c>
      <c r="AA120" s="243" t="s">
        <v>24</v>
      </c>
    </row>
    <row r="121" spans="1:27" ht="12.75" customHeight="1">
      <c r="A121" s="4">
        <f>IF(ISTEXT(E121),_xlfn.XLOOKUP(E121,'[1]SME09-01_LHM'!$D:$D,'[1]SME09-01_LHM'!$B:$B))</f>
        <v>169</v>
      </c>
      <c r="B121" s="4">
        <f>_xlfn.XLOOKUP(F121,'[1]SME09-01_LHM'!$I:$I,'[1]SME09-01_LHM'!$B:$B)</f>
        <v>169</v>
      </c>
      <c r="C121" s="22">
        <f>ROW()-25</f>
        <v>96</v>
      </c>
      <c r="D121" s="16" t="s">
        <v>1138</v>
      </c>
      <c r="E121" s="16" t="s">
        <v>1653</v>
      </c>
      <c r="F121" s="18" t="s">
        <v>1652</v>
      </c>
      <c r="G121" s="18" t="s">
        <v>1651</v>
      </c>
      <c r="H121" s="16" t="s">
        <v>8</v>
      </c>
      <c r="I121" s="16" t="s">
        <v>143</v>
      </c>
      <c r="J121" s="188" t="s">
        <v>18</v>
      </c>
      <c r="K121" s="242"/>
      <c r="L121" s="242"/>
      <c r="M121" s="186"/>
      <c r="N121" s="243" t="s">
        <v>27</v>
      </c>
      <c r="P121" s="105" t="s">
        <v>126</v>
      </c>
      <c r="Q121" s="105" t="s">
        <v>1446</v>
      </c>
      <c r="R121" s="105" t="s">
        <v>10</v>
      </c>
      <c r="S121" s="104"/>
      <c r="T121" s="103" t="s">
        <v>1139</v>
      </c>
      <c r="U121" s="103" t="s">
        <v>1139</v>
      </c>
      <c r="V121" s="105" t="s">
        <v>1139</v>
      </c>
      <c r="Y121" s="182" t="str">
        <f>_xlfn.LET(_xlpm.v,_xlfn.XLOOKUP(E121,'[1]SME09-01_LHM'!$D:$D,'[1]SME09-01_LHM'!$AL:$AL),IF(_xlpm.v=0,"",_xlpm.v))</f>
        <v/>
      </c>
      <c r="Z121" s="104" t="str">
        <f>_xlfn.LET(_xlpm.v,IF(ISTEXT(Y121),_xlfn.XLOOKUP(Y121,'JP-PINT'!A:A,'JP-PINT'!B:B),""),IF(ISERROR(_xlpm.v),"",_xlpm.v))</f>
        <v/>
      </c>
      <c r="AA121" s="243" t="s">
        <v>24</v>
      </c>
    </row>
    <row r="122" spans="1:27" ht="12.75" customHeight="1">
      <c r="A122" s="4">
        <f>IF(ISTEXT(E122),_xlfn.XLOOKUP(E122,'[1]SME09-01_LHM'!$D:$D,'[1]SME09-01_LHM'!$B:$B))</f>
        <v>170</v>
      </c>
      <c r="B122" s="4">
        <f>_xlfn.XLOOKUP(F122,'[1]SME09-01_LHM'!$I:$I,'[1]SME09-01_LHM'!$B:$B)</f>
        <v>170</v>
      </c>
      <c r="C122" s="22">
        <f>ROW()-25</f>
        <v>97</v>
      </c>
      <c r="D122" s="26" t="s">
        <v>1138</v>
      </c>
      <c r="E122" s="208" t="s">
        <v>1650</v>
      </c>
      <c r="F122" s="93" t="s">
        <v>2134</v>
      </c>
      <c r="G122" s="25" t="s">
        <v>1649</v>
      </c>
      <c r="H122" s="26" t="s">
        <v>8</v>
      </c>
      <c r="I122" s="26" t="s">
        <v>143</v>
      </c>
      <c r="J122" s="201" t="s">
        <v>18</v>
      </c>
      <c r="K122" s="245"/>
      <c r="L122" s="245"/>
      <c r="M122" s="189"/>
      <c r="N122" s="243" t="s">
        <v>27</v>
      </c>
      <c r="P122" s="105" t="s">
        <v>126</v>
      </c>
      <c r="Q122" s="105" t="s">
        <v>1012</v>
      </c>
      <c r="R122" s="105" t="s">
        <v>25</v>
      </c>
      <c r="S122" s="104"/>
      <c r="T122" s="103" t="s">
        <v>1139</v>
      </c>
      <c r="U122" s="103" t="s">
        <v>1139</v>
      </c>
      <c r="V122" s="105" t="s">
        <v>1139</v>
      </c>
      <c r="Y122" s="182" t="str">
        <f>_xlfn.LET(_xlpm.v,_xlfn.XLOOKUP(E122,'[1]SME09-01_LHM'!$D:$D,'[1]SME09-01_LHM'!$AL:$AL),IF(_xlpm.v=0,"",_xlpm.v))</f>
        <v/>
      </c>
      <c r="Z122" s="104" t="str">
        <f>_xlfn.LET(_xlpm.v,IF(ISTEXT(Y122),_xlfn.XLOOKUP(Y122,'JP-PINT'!A:A,'JP-PINT'!B:B),""),IF(ISERROR(_xlpm.v),"",_xlpm.v))</f>
        <v/>
      </c>
      <c r="AA122" s="243" t="s">
        <v>24</v>
      </c>
    </row>
    <row r="123" spans="1:27" ht="12.75" customHeight="1">
      <c r="A123" s="4">
        <f>IF(ISTEXT(E123),_xlfn.XLOOKUP(E123,'[1]SME09-01_LHM'!$D:$D,'[1]SME09-01_LHM'!$B:$B))</f>
        <v>172</v>
      </c>
      <c r="B123" s="4">
        <f>_xlfn.XLOOKUP(F123,'[1]SME09-01_LHM'!$I:$I,'[1]SME09-01_LHM'!$B:$B)</f>
        <v>172</v>
      </c>
      <c r="C123" s="22">
        <f>ROW()-25</f>
        <v>98</v>
      </c>
      <c r="D123" s="16" t="s">
        <v>1138</v>
      </c>
      <c r="E123" s="16" t="s">
        <v>1648</v>
      </c>
      <c r="F123" s="18" t="s">
        <v>1647</v>
      </c>
      <c r="G123" s="18" t="s">
        <v>1646</v>
      </c>
      <c r="H123" s="16" t="s">
        <v>8</v>
      </c>
      <c r="I123" s="16" t="s">
        <v>143</v>
      </c>
      <c r="J123" s="188" t="s">
        <v>18</v>
      </c>
      <c r="K123" s="242"/>
      <c r="L123" s="242"/>
      <c r="M123" s="186"/>
      <c r="N123" s="243" t="s">
        <v>27</v>
      </c>
      <c r="P123" s="105" t="s">
        <v>126</v>
      </c>
      <c r="Q123" s="105" t="s">
        <v>1007</v>
      </c>
      <c r="R123" s="105" t="s">
        <v>10</v>
      </c>
      <c r="S123" s="104"/>
      <c r="T123" s="103" t="s">
        <v>1139</v>
      </c>
      <c r="U123" s="103" t="s">
        <v>1139</v>
      </c>
      <c r="V123" s="105" t="s">
        <v>1139</v>
      </c>
      <c r="Y123" s="182" t="str">
        <f>_xlfn.LET(_xlpm.v,_xlfn.XLOOKUP(E123,'[1]SME09-01_LHM'!$D:$D,'[1]SME09-01_LHM'!$AL:$AL),IF(_xlpm.v=0,"",_xlpm.v))</f>
        <v/>
      </c>
      <c r="Z123" s="104" t="str">
        <f>_xlfn.LET(_xlpm.v,IF(ISTEXT(Y123),_xlfn.XLOOKUP(Y123,'JP-PINT'!A:A,'JP-PINT'!B:B),""),IF(ISERROR(_xlpm.v),"",_xlpm.v))</f>
        <v/>
      </c>
      <c r="AA123" s="243" t="s">
        <v>24</v>
      </c>
    </row>
    <row r="124" spans="1:27" ht="12.75" customHeight="1">
      <c r="A124" s="4">
        <f>IF(ISTEXT(E124),_xlfn.XLOOKUP(E124,'[1]SME09-01_LHM'!$D:$D,'[1]SME09-01_LHM'!$B:$B))</f>
        <v>173</v>
      </c>
      <c r="B124" s="4">
        <f>_xlfn.XLOOKUP(F124,'[1]SME09-01_LHM'!$I:$I,'[1]SME09-01_LHM'!$B:$B)</f>
        <v>173</v>
      </c>
      <c r="C124" s="22">
        <f>ROW()-25</f>
        <v>99</v>
      </c>
      <c r="D124" s="16" t="s">
        <v>1138</v>
      </c>
      <c r="E124" s="21" t="s">
        <v>1645</v>
      </c>
      <c r="F124" s="18" t="s">
        <v>1644</v>
      </c>
      <c r="G124" s="18" t="s">
        <v>1643</v>
      </c>
      <c r="H124" s="16" t="s">
        <v>8</v>
      </c>
      <c r="I124" s="16" t="s">
        <v>143</v>
      </c>
      <c r="J124" s="188" t="s">
        <v>18</v>
      </c>
      <c r="K124" s="242"/>
      <c r="L124" s="242"/>
      <c r="M124" s="186"/>
      <c r="N124" s="243" t="s">
        <v>27</v>
      </c>
      <c r="P124" s="105" t="s">
        <v>126</v>
      </c>
      <c r="Q124" s="105" t="s">
        <v>1002</v>
      </c>
      <c r="R124" s="151" t="s">
        <v>10</v>
      </c>
      <c r="S124" s="104"/>
      <c r="T124" s="106"/>
      <c r="U124" s="106" t="s">
        <v>1139</v>
      </c>
      <c r="V124" s="105" t="s">
        <v>1139</v>
      </c>
      <c r="Y124" s="182" t="str">
        <f>_xlfn.LET(_xlpm.v,_xlfn.XLOOKUP(E124,'[1]SME09-01_LHM'!$D:$D,'[1]SME09-01_LHM'!$AL:$AL),IF(_xlpm.v=0,"",_xlpm.v))</f>
        <v/>
      </c>
      <c r="Z124" s="104" t="str">
        <f>_xlfn.LET(_xlpm.v,IF(ISTEXT(Y124),_xlfn.XLOOKUP(Y124,'JP-PINT'!A:A,'JP-PINT'!B:B),""),IF(ISERROR(_xlpm.v),"",_xlpm.v))</f>
        <v/>
      </c>
      <c r="AA124" s="243" t="s">
        <v>24</v>
      </c>
    </row>
    <row r="125" spans="1:27" s="6" customFormat="1" ht="12.75" customHeight="1">
      <c r="A125" s="4">
        <f>IF(ISTEXT(E125),_xlfn.XLOOKUP(E125,'[1]SME09-01_LHM'!$D:$D,'[1]SME09-01_LHM'!$B:$B))</f>
        <v>174</v>
      </c>
      <c r="B125" s="4">
        <f>_xlfn.XLOOKUP(F125,'[1]SME09-01_LHM'!$I:$I,'[1]SME09-01_LHM'!$B:$B)</f>
        <v>174</v>
      </c>
      <c r="C125" s="22">
        <f>ROW()-25</f>
        <v>100</v>
      </c>
      <c r="D125" s="16" t="s">
        <v>1138</v>
      </c>
      <c r="E125" s="21" t="s">
        <v>1642</v>
      </c>
      <c r="F125" s="18" t="s">
        <v>1641</v>
      </c>
      <c r="G125" s="18" t="s">
        <v>1640</v>
      </c>
      <c r="H125" s="16" t="s">
        <v>8</v>
      </c>
      <c r="I125" s="16" t="s">
        <v>143</v>
      </c>
      <c r="J125" s="188" t="s">
        <v>18</v>
      </c>
      <c r="K125" s="242"/>
      <c r="L125" s="242"/>
      <c r="M125" s="186"/>
      <c r="N125" s="243" t="s">
        <v>27</v>
      </c>
      <c r="O125" s="7"/>
      <c r="P125" s="105" t="s">
        <v>126</v>
      </c>
      <c r="Q125" s="105" t="s">
        <v>997</v>
      </c>
      <c r="R125" s="151" t="s">
        <v>10</v>
      </c>
      <c r="S125" s="104"/>
      <c r="T125" s="106"/>
      <c r="U125" s="106" t="s">
        <v>1139</v>
      </c>
      <c r="V125" s="105" t="s">
        <v>1139</v>
      </c>
      <c r="W125" s="3"/>
      <c r="X125" s="3"/>
      <c r="Y125" s="182" t="str">
        <f>_xlfn.LET(_xlpm.v,_xlfn.XLOOKUP(E125,'[1]SME09-01_LHM'!$D:$D,'[1]SME09-01_LHM'!$AL:$AL),IF(_xlpm.v=0,"",_xlpm.v))</f>
        <v/>
      </c>
      <c r="Z125" s="104" t="str">
        <f>_xlfn.LET(_xlpm.v,IF(ISTEXT(Y125),_xlfn.XLOOKUP(Y125,'JP-PINT'!A:A,'JP-PINT'!B:B),""),IF(ISERROR(_xlpm.v),"",_xlpm.v))</f>
        <v/>
      </c>
      <c r="AA125" s="243" t="s">
        <v>24</v>
      </c>
    </row>
    <row r="126" spans="1:27" s="137" customFormat="1" ht="12.75" customHeight="1">
      <c r="A126" s="4">
        <f>IF(ISTEXT(E126),_xlfn.XLOOKUP(E126,'[1]SME09-01_LHM'!$D:$D,'[1]SME09-01_LHM'!$B:$B))</f>
        <v>175</v>
      </c>
      <c r="B126" s="4">
        <f>_xlfn.XLOOKUP(F126,'[1]SME09-01_LHM'!$I:$I,'[1]SME09-01_LHM'!$B:$B)</f>
        <v>175</v>
      </c>
      <c r="C126" s="102">
        <f>ROW()-25</f>
        <v>101</v>
      </c>
      <c r="D126" s="103" t="s">
        <v>1138</v>
      </c>
      <c r="E126" s="106" t="s">
        <v>1639</v>
      </c>
      <c r="F126" s="105" t="s">
        <v>1638</v>
      </c>
      <c r="G126" s="105" t="s">
        <v>1637</v>
      </c>
      <c r="H126" s="103" t="s">
        <v>8</v>
      </c>
      <c r="I126" s="103" t="s">
        <v>143</v>
      </c>
      <c r="J126" s="222" t="s">
        <v>18</v>
      </c>
      <c r="K126" s="224"/>
      <c r="L126" s="224"/>
      <c r="M126" s="193"/>
      <c r="N126" s="229" t="s">
        <v>27</v>
      </c>
      <c r="O126" s="136"/>
      <c r="P126" s="105" t="s">
        <v>126</v>
      </c>
      <c r="Q126" s="105" t="s">
        <v>992</v>
      </c>
      <c r="R126" s="151" t="s">
        <v>10</v>
      </c>
      <c r="S126" s="104"/>
      <c r="T126" s="106"/>
      <c r="U126" s="106" t="s">
        <v>1139</v>
      </c>
      <c r="V126" s="105" t="s">
        <v>1139</v>
      </c>
      <c r="W126" s="107"/>
      <c r="X126" s="107"/>
      <c r="Y126" s="192" t="str">
        <f>_xlfn.LET(_xlpm.v,_xlfn.XLOOKUP(E126,'[1]SME09-01_LHM'!$D:$D,'[1]SME09-01_LHM'!$AL:$AL),IF(_xlpm.v=0,"",_xlpm.v))</f>
        <v/>
      </c>
      <c r="Z126" s="104" t="str">
        <f>_xlfn.LET(_xlpm.v,IF(ISTEXT(Y126),_xlfn.XLOOKUP(Y126,'JP-PINT'!A:A,'JP-PINT'!B:B),""),IF(ISERROR(_xlpm.v),"",_xlpm.v))</f>
        <v/>
      </c>
      <c r="AA126" s="229" t="s">
        <v>24</v>
      </c>
    </row>
    <row r="127" spans="1:27" s="134" customFormat="1" ht="12.75" customHeight="1">
      <c r="A127" s="4">
        <f>IF(ISTEXT(E127),_xlfn.XLOOKUP(E127,'[1]SME09-01_LHM'!$D:$D,'[1]SME09-01_LHM'!$B:$B))</f>
        <v>176</v>
      </c>
      <c r="B127" s="4">
        <f>_xlfn.XLOOKUP(F127,'[1]SME09-01_LHM'!$I:$I,'[1]SME09-01_LHM'!$B:$B)</f>
        <v>176</v>
      </c>
      <c r="C127" s="102">
        <f>ROW()-25</f>
        <v>102</v>
      </c>
      <c r="D127" s="103" t="s">
        <v>1138</v>
      </c>
      <c r="E127" s="103" t="s">
        <v>1636</v>
      </c>
      <c r="F127" s="105" t="s">
        <v>1635</v>
      </c>
      <c r="G127" s="105" t="s">
        <v>1634</v>
      </c>
      <c r="H127" s="103" t="s">
        <v>31</v>
      </c>
      <c r="I127" s="103" t="s">
        <v>143</v>
      </c>
      <c r="J127" s="222" t="s">
        <v>18</v>
      </c>
      <c r="K127" s="224"/>
      <c r="L127" s="224"/>
      <c r="M127" s="193"/>
      <c r="N127" s="229" t="s">
        <v>27</v>
      </c>
      <c r="O127" s="136"/>
      <c r="P127" s="105" t="s">
        <v>126</v>
      </c>
      <c r="Q127" s="105" t="s">
        <v>987</v>
      </c>
      <c r="R127" s="105" t="s">
        <v>10</v>
      </c>
      <c r="S127" s="104" t="s">
        <v>14</v>
      </c>
      <c r="T127" s="106" t="s">
        <v>13</v>
      </c>
      <c r="U127" s="106" t="s">
        <v>12</v>
      </c>
      <c r="V127" s="105" t="s">
        <v>11</v>
      </c>
      <c r="W127" s="107"/>
      <c r="X127" s="107"/>
      <c r="Y127" s="192" t="str">
        <f>_xlfn.LET(_xlpm.v,_xlfn.XLOOKUP(E127,'[1]SME09-01_LHM'!$D:$D,'[1]SME09-01_LHM'!$AL:$AL),IF(_xlpm.v=0,"",_xlpm.v))</f>
        <v/>
      </c>
      <c r="Z127" s="104" t="str">
        <f>_xlfn.LET(_xlpm.v,IF(ISTEXT(Y127),_xlfn.XLOOKUP(Y127,'JP-PINT'!A:A,'JP-PINT'!B:B),""),IF(ISERROR(_xlpm.v),"",_xlpm.v))</f>
        <v/>
      </c>
      <c r="AA127" s="229" t="s">
        <v>24</v>
      </c>
    </row>
    <row r="128" spans="1:27" s="134" customFormat="1" ht="12.75" customHeight="1">
      <c r="A128" s="4">
        <f>IF(ISTEXT(E128),_xlfn.XLOOKUP(E128,'[1]SME09-01_LHM'!$D:$D,'[1]SME09-01_LHM'!$B:$B))</f>
        <v>177</v>
      </c>
      <c r="B128" s="4">
        <f>_xlfn.XLOOKUP(F128,'[1]SME09-01_LHM'!$I:$I,'[1]SME09-01_LHM'!$B:$B)</f>
        <v>177</v>
      </c>
      <c r="C128" s="102">
        <f>ROW()-25</f>
        <v>103</v>
      </c>
      <c r="D128" s="103" t="s">
        <v>1138</v>
      </c>
      <c r="E128" s="103" t="s">
        <v>1633</v>
      </c>
      <c r="F128" s="93" t="s">
        <v>2153</v>
      </c>
      <c r="G128" s="105" t="s">
        <v>1632</v>
      </c>
      <c r="H128" s="103" t="s">
        <v>31</v>
      </c>
      <c r="I128" s="103" t="s">
        <v>19</v>
      </c>
      <c r="J128" s="222" t="s">
        <v>18</v>
      </c>
      <c r="K128" s="224"/>
      <c r="L128" s="224"/>
      <c r="M128" s="193"/>
      <c r="N128" s="229" t="s">
        <v>27</v>
      </c>
      <c r="O128" s="225"/>
      <c r="P128" s="105" t="s">
        <v>126</v>
      </c>
      <c r="Q128" s="105" t="s">
        <v>1450</v>
      </c>
      <c r="R128" s="105" t="s">
        <v>25</v>
      </c>
      <c r="S128" s="104" t="s">
        <v>24</v>
      </c>
      <c r="T128" s="106" t="s">
        <v>24</v>
      </c>
      <c r="U128" s="106" t="s">
        <v>24</v>
      </c>
      <c r="V128" s="104" t="s">
        <v>24</v>
      </c>
      <c r="W128" s="226" t="s">
        <v>25</v>
      </c>
      <c r="X128" s="226" t="s">
        <v>25</v>
      </c>
      <c r="Y128" s="192" t="str">
        <f>_xlfn.LET(_xlpm.v,_xlfn.XLOOKUP(E128,'[1]SME09-01_LHM'!$D:$D,'[1]SME09-01_LHM'!$AL:$AL),IF(_xlpm.v=0,"",_xlpm.v))</f>
        <v/>
      </c>
      <c r="Z128" s="104" t="str">
        <f>_xlfn.LET(_xlpm.v,IF(ISTEXT(Y128),_xlfn.XLOOKUP(Y128,'JP-PINT'!A:A,'JP-PINT'!B:B),""),IF(ISERROR(_xlpm.v),"",_xlpm.v))</f>
        <v/>
      </c>
      <c r="AA128" s="229" t="s">
        <v>24</v>
      </c>
    </row>
    <row r="129" spans="1:27" s="228" customFormat="1" ht="12.75" customHeight="1">
      <c r="A129" s="4">
        <f>IF(ISTEXT(E129),_xlfn.XLOOKUP(E129,'[1]SME09-01_LHM'!$D:$D,'[1]SME09-01_LHM'!$B:$B))</f>
        <v>152.30000000000001</v>
      </c>
      <c r="B129" s="4">
        <f>_xlfn.XLOOKUP(F129,'[1]SME09-01_LHM'!$I:$I,'[1]SME09-01_LHM'!$B:$B)</f>
        <v>152.30000000000001</v>
      </c>
      <c r="C129" s="102">
        <f>ROW()-25</f>
        <v>104</v>
      </c>
      <c r="D129" s="153" t="s">
        <v>1138</v>
      </c>
      <c r="E129" s="153" t="s">
        <v>1631</v>
      </c>
      <c r="F129" s="148" t="s">
        <v>1630</v>
      </c>
      <c r="G129" s="148" t="s">
        <v>1629</v>
      </c>
      <c r="H129" s="103" t="s">
        <v>8</v>
      </c>
      <c r="I129" s="153" t="s">
        <v>127</v>
      </c>
      <c r="J129" s="230" t="s">
        <v>66</v>
      </c>
      <c r="K129" s="224"/>
      <c r="L129" s="224"/>
      <c r="M129" s="193"/>
      <c r="N129" s="223"/>
      <c r="O129" s="225"/>
      <c r="P129" s="105" t="s">
        <v>126</v>
      </c>
      <c r="Q129" s="105" t="s">
        <v>1446</v>
      </c>
      <c r="R129" s="105" t="s">
        <v>10</v>
      </c>
      <c r="S129" s="104" t="s">
        <v>1021</v>
      </c>
      <c r="T129" s="106" t="s">
        <v>13</v>
      </c>
      <c r="U129" s="106" t="s">
        <v>1445</v>
      </c>
      <c r="V129" s="150" t="s">
        <v>1444</v>
      </c>
      <c r="W129" s="226" t="s">
        <v>10</v>
      </c>
      <c r="X129" s="226" t="s">
        <v>10</v>
      </c>
      <c r="Y129" s="192" t="str">
        <f>_xlfn.LET(_xlpm.v,_xlfn.XLOOKUP(E129,'[1]SME09-01_LHM'!$D:$D,'[1]SME09-01_LHM'!$AL:$AL),IF(_xlpm.v=0,"",_xlpm.v))</f>
        <v>IBT-049</v>
      </c>
      <c r="Z129" s="104" t="str">
        <f>_xlfn.LET(_xlpm.v,IF(ISTEXT(Y129),_xlfn.XLOOKUP(Y129,'JP-PINT'!A:A,'JP-PINT'!B:B),""),IF(ISERROR(_xlpm.v),"",_xlpm.v))</f>
        <v>&gt; Buyer electronic address</v>
      </c>
      <c r="AA129" s="227"/>
    </row>
    <row r="130" spans="1:27" s="228" customFormat="1" ht="12.75" customHeight="1">
      <c r="A130" s="4">
        <f>IF(ISTEXT(E130),_xlfn.XLOOKUP(E130,'[1]SME09-01_LHM'!$D:$D,'[1]SME09-01_LHM'!$B:$B))</f>
        <v>152.4</v>
      </c>
      <c r="B130" s="4">
        <f>_xlfn.XLOOKUP(F130,'[1]SME09-01_LHM'!$I:$I,'[1]SME09-01_LHM'!$B:$B)</f>
        <v>152.4</v>
      </c>
      <c r="C130" s="102">
        <f>ROW()-25</f>
        <v>105</v>
      </c>
      <c r="D130" s="153" t="s">
        <v>1138</v>
      </c>
      <c r="E130" s="153" t="s">
        <v>1628</v>
      </c>
      <c r="F130" s="93" t="s">
        <v>2140</v>
      </c>
      <c r="G130" s="148" t="s">
        <v>1442</v>
      </c>
      <c r="H130" s="103"/>
      <c r="I130" s="153" t="s">
        <v>127</v>
      </c>
      <c r="J130" s="230" t="s">
        <v>66</v>
      </c>
      <c r="K130" s="224"/>
      <c r="L130" s="224"/>
      <c r="M130" s="193"/>
      <c r="N130" s="223"/>
      <c r="O130" s="225"/>
      <c r="P130" s="105" t="s">
        <v>126</v>
      </c>
      <c r="Q130" s="105"/>
      <c r="R130" s="105" t="s">
        <v>430</v>
      </c>
      <c r="S130" s="104"/>
      <c r="T130" s="106" t="s">
        <v>103</v>
      </c>
      <c r="U130" s="106" t="s">
        <v>24</v>
      </c>
      <c r="V130" s="104"/>
      <c r="W130" s="226" t="s">
        <v>429</v>
      </c>
      <c r="X130" s="226" t="s">
        <v>429</v>
      </c>
      <c r="Y130" s="192" t="str">
        <f>_xlfn.LET(_xlpm.v,_xlfn.XLOOKUP(E130,'[1]SME09-01_LHM'!$D:$D,'[1]SME09-01_LHM'!$AL:$AL),IF(_xlpm.v=0,"",_xlpm.v))</f>
        <v>IBT-049-1</v>
      </c>
      <c r="Z130" s="104" t="str">
        <f>_xlfn.LET(_xlpm.v,IF(ISTEXT(Y130),_xlfn.XLOOKUP(Y130,'JP-PINT'!A:A,'JP-PINT'!B:B),""),IF(ISERROR(_xlpm.v),"",_xlpm.v))</f>
        <v>&gt;&gt;Scheme identifier</v>
      </c>
      <c r="AA130" s="227"/>
    </row>
    <row r="131" spans="1:27" s="228" customFormat="1" ht="12.75" customHeight="1">
      <c r="A131" s="4">
        <f>IF(ISTEXT(E131),_xlfn.XLOOKUP(E131,'[1]SME09-01_LHM'!$D:$D,'[1]SME09-01_LHM'!$B:$B))</f>
        <v>181</v>
      </c>
      <c r="B131" s="4">
        <f>_xlfn.XLOOKUP(F131,'[1]SME09-01_LHM'!$I:$I,'[1]SME09-01_LHM'!$B:$B)</f>
        <v>181</v>
      </c>
      <c r="C131" s="102">
        <f>ROW()-25</f>
        <v>106</v>
      </c>
      <c r="D131" s="103" t="s">
        <v>1138</v>
      </c>
      <c r="E131" s="103" t="s">
        <v>1627</v>
      </c>
      <c r="F131" s="93" t="s">
        <v>2135</v>
      </c>
      <c r="G131" s="105" t="s">
        <v>1626</v>
      </c>
      <c r="H131" s="103" t="s">
        <v>8</v>
      </c>
      <c r="I131" s="103" t="s">
        <v>143</v>
      </c>
      <c r="J131" s="222" t="s">
        <v>18</v>
      </c>
      <c r="K131" s="224"/>
      <c r="L131" s="224"/>
      <c r="M131" s="193"/>
      <c r="N131" s="229" t="s">
        <v>27</v>
      </c>
      <c r="O131" s="136"/>
      <c r="P131" s="105" t="s">
        <v>126</v>
      </c>
      <c r="Q131" s="105" t="s">
        <v>1625</v>
      </c>
      <c r="R131" s="105" t="s">
        <v>25</v>
      </c>
      <c r="S131" s="104"/>
      <c r="T131" s="106" t="s">
        <v>1139</v>
      </c>
      <c r="U131" s="106" t="s">
        <v>24</v>
      </c>
      <c r="V131" s="105" t="s">
        <v>24</v>
      </c>
      <c r="W131" s="107"/>
      <c r="X131" s="107"/>
      <c r="Y131" s="192" t="str">
        <f>_xlfn.LET(_xlpm.v,_xlfn.XLOOKUP(E131,'[1]SME09-01_LHM'!$D:$D,'[1]SME09-01_LHM'!$AL:$AL),IF(_xlpm.v=0,"",_xlpm.v))</f>
        <v/>
      </c>
      <c r="Z131" s="104" t="str">
        <f>_xlfn.LET(_xlpm.v,IF(ISTEXT(Y131),_xlfn.XLOOKUP(Y131,'JP-PINT'!A:A,'JP-PINT'!B:B),""),IF(ISERROR(_xlpm.v),"",_xlpm.v))</f>
        <v/>
      </c>
      <c r="AA131" s="229" t="s">
        <v>24</v>
      </c>
    </row>
    <row r="132" spans="1:27" s="134" customFormat="1" ht="12.75" customHeight="1">
      <c r="A132" s="4">
        <f>IF(ISTEXT(E132),_xlfn.XLOOKUP(E132,'[1]SME09-01_LHM'!$D:$D,'[1]SME09-01_LHM'!$B:$B))</f>
        <v>183</v>
      </c>
      <c r="B132" s="4">
        <f>_xlfn.XLOOKUP(F132,'[1]SME09-01_LHM'!$I:$I,'[1]SME09-01_LHM'!$B:$B)</f>
        <v>183</v>
      </c>
      <c r="C132" s="102">
        <f>ROW()-25</f>
        <v>107</v>
      </c>
      <c r="D132" s="103" t="s">
        <v>1138</v>
      </c>
      <c r="E132" s="103" t="s">
        <v>1624</v>
      </c>
      <c r="F132" s="105" t="s">
        <v>1623</v>
      </c>
      <c r="G132" s="105" t="s">
        <v>1622</v>
      </c>
      <c r="H132" s="103" t="s">
        <v>8</v>
      </c>
      <c r="I132" s="103" t="s">
        <v>340</v>
      </c>
      <c r="J132" s="222" t="s">
        <v>18</v>
      </c>
      <c r="K132" s="224"/>
      <c r="L132" s="224"/>
      <c r="M132" s="193"/>
      <c r="N132" s="229" t="s">
        <v>27</v>
      </c>
      <c r="O132" s="136"/>
      <c r="P132" s="105" t="s">
        <v>126</v>
      </c>
      <c r="Q132" s="105" t="s">
        <v>1026</v>
      </c>
      <c r="R132" s="105" t="s">
        <v>10</v>
      </c>
      <c r="S132" s="104"/>
      <c r="T132" s="106" t="s">
        <v>1139</v>
      </c>
      <c r="U132" s="106" t="s">
        <v>24</v>
      </c>
      <c r="V132" s="105" t="s">
        <v>24</v>
      </c>
      <c r="W132" s="107"/>
      <c r="X132" s="107"/>
      <c r="Y132" s="192" t="str">
        <f>_xlfn.LET(_xlpm.v,_xlfn.XLOOKUP(E132,'[1]SME09-01_LHM'!$D:$D,'[1]SME09-01_LHM'!$AL:$AL),IF(_xlpm.v=0,"",_xlpm.v))</f>
        <v/>
      </c>
      <c r="Z132" s="104" t="str">
        <f>_xlfn.LET(_xlpm.v,IF(ISTEXT(Y132),_xlfn.XLOOKUP(Y132,'JP-PINT'!A:A,'JP-PINT'!B:B),""),IF(ISERROR(_xlpm.v),"",_xlpm.v))</f>
        <v/>
      </c>
      <c r="AA132" s="229" t="s">
        <v>24</v>
      </c>
    </row>
    <row r="133" spans="1:27" s="137" customFormat="1" ht="12.75" customHeight="1">
      <c r="A133" s="4">
        <f>IF(ISTEXT(E133),_xlfn.XLOOKUP(E133,'[1]SME09-01_LHM'!$D:$D,'[1]SME09-01_LHM'!$B:$B))</f>
        <v>184</v>
      </c>
      <c r="B133" s="4">
        <f>_xlfn.XLOOKUP(F133,'[1]SME09-01_LHM'!$I:$I,'[1]SME09-01_LHM'!$B:$B)</f>
        <v>184</v>
      </c>
      <c r="C133" s="102">
        <f>ROW()-25</f>
        <v>108</v>
      </c>
      <c r="D133" s="103" t="s">
        <v>1138</v>
      </c>
      <c r="E133" s="103" t="s">
        <v>1621</v>
      </c>
      <c r="F133" s="105" t="s">
        <v>1620</v>
      </c>
      <c r="G133" s="105" t="s">
        <v>1619</v>
      </c>
      <c r="H133" s="103" t="s">
        <v>8</v>
      </c>
      <c r="I133" s="103" t="s">
        <v>340</v>
      </c>
      <c r="J133" s="222" t="s">
        <v>18</v>
      </c>
      <c r="K133" s="224"/>
      <c r="L133" s="224"/>
      <c r="M133" s="193"/>
      <c r="N133" s="229" t="s">
        <v>27</v>
      </c>
      <c r="O133" s="136"/>
      <c r="P133" s="105" t="s">
        <v>126</v>
      </c>
      <c r="Q133" s="105" t="s">
        <v>1022</v>
      </c>
      <c r="R133" s="105" t="s">
        <v>10</v>
      </c>
      <c r="S133" s="104" t="s">
        <v>1021</v>
      </c>
      <c r="T133" s="106" t="s">
        <v>13</v>
      </c>
      <c r="U133" s="106" t="s">
        <v>24</v>
      </c>
      <c r="V133" s="105" t="s">
        <v>24</v>
      </c>
      <c r="W133" s="107"/>
      <c r="X133" s="107"/>
      <c r="Y133" s="192" t="str">
        <f>_xlfn.LET(_xlpm.v,_xlfn.XLOOKUP(E133,'[1]SME09-01_LHM'!$D:$D,'[1]SME09-01_LHM'!$AL:$AL),IF(_xlpm.v=0,"",_xlpm.v))</f>
        <v/>
      </c>
      <c r="Z133" s="104" t="str">
        <f>_xlfn.LET(_xlpm.v,IF(ISTEXT(Y133),_xlfn.XLOOKUP(Y133,'JP-PINT'!A:A,'JP-PINT'!B:B),""),IF(ISERROR(_xlpm.v),"",_xlpm.v))</f>
        <v/>
      </c>
      <c r="AA133" s="229" t="s">
        <v>24</v>
      </c>
    </row>
    <row r="134" spans="1:27" s="137" customFormat="1" ht="12.75" customHeight="1">
      <c r="A134" s="4">
        <f>IF(ISTEXT(E134),_xlfn.XLOOKUP(E134,'[1]SME09-01_LHM'!$D:$D,'[1]SME09-01_LHM'!$B:$B))</f>
        <v>185</v>
      </c>
      <c r="B134" s="4">
        <f>_xlfn.XLOOKUP(F134,'[1]SME09-01_LHM'!$I:$I,'[1]SME09-01_LHM'!$B:$B)</f>
        <v>185</v>
      </c>
      <c r="C134" s="102">
        <f>ROW()-25</f>
        <v>109</v>
      </c>
      <c r="D134" s="103" t="s">
        <v>1138</v>
      </c>
      <c r="E134" s="103" t="s">
        <v>1618</v>
      </c>
      <c r="F134" s="105" t="s">
        <v>1617</v>
      </c>
      <c r="G134" s="105" t="s">
        <v>1616</v>
      </c>
      <c r="H134" s="103" t="s">
        <v>8</v>
      </c>
      <c r="I134" s="103" t="s">
        <v>340</v>
      </c>
      <c r="J134" s="222" t="s">
        <v>18</v>
      </c>
      <c r="K134" s="224"/>
      <c r="L134" s="224"/>
      <c r="M134" s="193"/>
      <c r="N134" s="229" t="s">
        <v>27</v>
      </c>
      <c r="O134" s="136"/>
      <c r="P134" s="105" t="s">
        <v>126</v>
      </c>
      <c r="Q134" s="105" t="s">
        <v>1016</v>
      </c>
      <c r="R134" s="105" t="s">
        <v>10</v>
      </c>
      <c r="S134" s="104"/>
      <c r="T134" s="106"/>
      <c r="U134" s="106" t="s">
        <v>24</v>
      </c>
      <c r="V134" s="105" t="s">
        <v>24</v>
      </c>
      <c r="W134" s="107"/>
      <c r="X134" s="107"/>
      <c r="Y134" s="192" t="str">
        <f>_xlfn.LET(_xlpm.v,_xlfn.XLOOKUP(E134,'[1]SME09-01_LHM'!$D:$D,'[1]SME09-01_LHM'!$AL:$AL),IF(_xlpm.v=0,"",_xlpm.v))</f>
        <v/>
      </c>
      <c r="Z134" s="104" t="str">
        <f>_xlfn.LET(_xlpm.v,IF(ISTEXT(Y134),_xlfn.XLOOKUP(Y134,'JP-PINT'!A:A,'JP-PINT'!B:B),""),IF(ISERROR(_xlpm.v),"",_xlpm.v))</f>
        <v/>
      </c>
      <c r="AA134" s="229" t="s">
        <v>24</v>
      </c>
    </row>
    <row r="135" spans="1:27" s="134" customFormat="1" ht="12.75" customHeight="1">
      <c r="A135" s="4">
        <f>IF(ISTEXT(E135),_xlfn.XLOOKUP(E135,'[1]SME09-01_LHM'!$D:$D,'[1]SME09-01_LHM'!$B:$B))</f>
        <v>186</v>
      </c>
      <c r="B135" s="4">
        <f>_xlfn.XLOOKUP(F135,'[1]SME09-01_LHM'!$I:$I,'[1]SME09-01_LHM'!$B:$B)</f>
        <v>186</v>
      </c>
      <c r="C135" s="102">
        <f>ROW()-25</f>
        <v>110</v>
      </c>
      <c r="D135" s="103" t="s">
        <v>1138</v>
      </c>
      <c r="E135" s="103" t="s">
        <v>1615</v>
      </c>
      <c r="F135" s="93" t="s">
        <v>2136</v>
      </c>
      <c r="G135" s="105" t="s">
        <v>1497</v>
      </c>
      <c r="H135" s="103" t="s">
        <v>8</v>
      </c>
      <c r="I135" s="103" t="s">
        <v>143</v>
      </c>
      <c r="J135" s="222" t="s">
        <v>18</v>
      </c>
      <c r="K135" s="224"/>
      <c r="L135" s="224"/>
      <c r="M135" s="193"/>
      <c r="N135" s="229" t="s">
        <v>27</v>
      </c>
      <c r="O135" s="136"/>
      <c r="P135" s="105" t="s">
        <v>126</v>
      </c>
      <c r="Q135" s="105" t="s">
        <v>1496</v>
      </c>
      <c r="R135" s="105" t="s">
        <v>25</v>
      </c>
      <c r="S135" s="104"/>
      <c r="T135" s="106" t="s">
        <v>1139</v>
      </c>
      <c r="U135" s="106" t="s">
        <v>24</v>
      </c>
      <c r="V135" s="105" t="s">
        <v>24</v>
      </c>
      <c r="W135" s="107"/>
      <c r="X135" s="107"/>
      <c r="Y135" s="192" t="str">
        <f>_xlfn.LET(_xlpm.v,_xlfn.XLOOKUP(E135,'[1]SME09-01_LHM'!$D:$D,'[1]SME09-01_LHM'!$AL:$AL),IF(_xlpm.v=0,"",_xlpm.v))</f>
        <v/>
      </c>
      <c r="Z135" s="104" t="str">
        <f>_xlfn.LET(_xlpm.v,IF(ISTEXT(Y135),_xlfn.XLOOKUP(Y135,'JP-PINT'!A:A,'JP-PINT'!B:B),""),IF(ISERROR(_xlpm.v),"",_xlpm.v))</f>
        <v/>
      </c>
      <c r="AA135" s="229" t="s">
        <v>24</v>
      </c>
    </row>
    <row r="136" spans="1:27" s="134" customFormat="1" ht="12.75" customHeight="1">
      <c r="A136" s="4">
        <f>IF(ISTEXT(E136),_xlfn.XLOOKUP(E136,'[1]SME09-01_LHM'!$D:$D,'[1]SME09-01_LHM'!$B:$B))</f>
        <v>188</v>
      </c>
      <c r="B136" s="4">
        <f>_xlfn.XLOOKUP(F136,'[1]SME09-01_LHM'!$I:$I,'[1]SME09-01_LHM'!$B:$B)</f>
        <v>188</v>
      </c>
      <c r="C136" s="102">
        <f>ROW()-25</f>
        <v>111</v>
      </c>
      <c r="D136" s="103" t="s">
        <v>1138</v>
      </c>
      <c r="E136" s="103" t="s">
        <v>1614</v>
      </c>
      <c r="F136" s="105" t="s">
        <v>1613</v>
      </c>
      <c r="G136" s="105" t="s">
        <v>1612</v>
      </c>
      <c r="H136" s="103" t="s">
        <v>8</v>
      </c>
      <c r="I136" s="103" t="s">
        <v>340</v>
      </c>
      <c r="J136" s="222" t="s">
        <v>18</v>
      </c>
      <c r="K136" s="224"/>
      <c r="L136" s="224"/>
      <c r="M136" s="193"/>
      <c r="N136" s="229" t="s">
        <v>27</v>
      </c>
      <c r="O136" s="136"/>
      <c r="P136" s="105" t="s">
        <v>126</v>
      </c>
      <c r="Q136" s="105" t="s">
        <v>1492</v>
      </c>
      <c r="R136" s="105" t="s">
        <v>10</v>
      </c>
      <c r="S136" s="104"/>
      <c r="T136" s="106" t="s">
        <v>1139</v>
      </c>
      <c r="U136" s="106" t="s">
        <v>24</v>
      </c>
      <c r="V136" s="105" t="s">
        <v>24</v>
      </c>
      <c r="W136" s="107"/>
      <c r="X136" s="107"/>
      <c r="Y136" s="192" t="str">
        <f>_xlfn.LET(_xlpm.v,_xlfn.XLOOKUP(E136,'[1]SME09-01_LHM'!$D:$D,'[1]SME09-01_LHM'!$AL:$AL),IF(_xlpm.v=0,"",_xlpm.v))</f>
        <v/>
      </c>
      <c r="Z136" s="104" t="str">
        <f>_xlfn.LET(_xlpm.v,IF(ISTEXT(Y136),_xlfn.XLOOKUP(Y136,'JP-PINT'!A:A,'JP-PINT'!B:B),""),IF(ISERROR(_xlpm.v),"",_xlpm.v))</f>
        <v/>
      </c>
      <c r="AA136" s="229" t="s">
        <v>24</v>
      </c>
    </row>
    <row r="137" spans="1:27" s="137" customFormat="1" ht="12.75" customHeight="1">
      <c r="A137" s="4">
        <f>IF(ISTEXT(E137),_xlfn.XLOOKUP(E137,'[1]SME09-01_LHM'!$D:$D,'[1]SME09-01_LHM'!$B:$B))</f>
        <v>189</v>
      </c>
      <c r="B137" s="4">
        <f>_xlfn.XLOOKUP(F137,'[1]SME09-01_LHM'!$I:$I,'[1]SME09-01_LHM'!$B:$B)</f>
        <v>189</v>
      </c>
      <c r="C137" s="102">
        <f>ROW()-25</f>
        <v>112</v>
      </c>
      <c r="D137" s="103" t="s">
        <v>1138</v>
      </c>
      <c r="E137" s="103" t="s">
        <v>1611</v>
      </c>
      <c r="F137" s="105" t="s">
        <v>1610</v>
      </c>
      <c r="G137" s="105" t="s">
        <v>1609</v>
      </c>
      <c r="H137" s="103" t="s">
        <v>8</v>
      </c>
      <c r="I137" s="106" t="s">
        <v>340</v>
      </c>
      <c r="J137" s="222" t="s">
        <v>18</v>
      </c>
      <c r="K137" s="224"/>
      <c r="L137" s="224"/>
      <c r="M137" s="193"/>
      <c r="N137" s="229" t="s">
        <v>27</v>
      </c>
      <c r="O137" s="136"/>
      <c r="P137" s="105" t="s">
        <v>126</v>
      </c>
      <c r="Q137" s="105" t="s">
        <v>1488</v>
      </c>
      <c r="R137" s="105" t="s">
        <v>10</v>
      </c>
      <c r="S137" s="104"/>
      <c r="T137" s="103"/>
      <c r="U137" s="103" t="s">
        <v>24</v>
      </c>
      <c r="V137" s="105" t="s">
        <v>24</v>
      </c>
      <c r="W137" s="107"/>
      <c r="X137" s="107"/>
      <c r="Y137" s="192" t="str">
        <f>_xlfn.LET(_xlpm.v,_xlfn.XLOOKUP(E137,'[1]SME09-01_LHM'!$D:$D,'[1]SME09-01_LHM'!$AL:$AL),IF(_xlpm.v=0,"",_xlpm.v))</f>
        <v/>
      </c>
      <c r="Z137" s="104" t="str">
        <f>_xlfn.LET(_xlpm.v,IF(ISTEXT(Y137),_xlfn.XLOOKUP(Y137,'JP-PINT'!A:A,'JP-PINT'!B:B),""),IF(ISERROR(_xlpm.v),"",_xlpm.v))</f>
        <v/>
      </c>
      <c r="AA137" s="229" t="s">
        <v>24</v>
      </c>
    </row>
    <row r="138" spans="1:27" s="134" customFormat="1" ht="12.75" customHeight="1">
      <c r="A138" s="4">
        <f>IF(ISTEXT(E138),_xlfn.XLOOKUP(E138,'[1]SME09-01_LHM'!$D:$D,'[1]SME09-01_LHM'!$B:$B))</f>
        <v>190</v>
      </c>
      <c r="B138" s="4">
        <f>_xlfn.XLOOKUP(F138,'[1]SME09-01_LHM'!$I:$I,'[1]SME09-01_LHM'!$B:$B)</f>
        <v>190</v>
      </c>
      <c r="C138" s="102">
        <f>ROW()-25</f>
        <v>113</v>
      </c>
      <c r="D138" s="103" t="s">
        <v>1138</v>
      </c>
      <c r="E138" s="103" t="s">
        <v>1608</v>
      </c>
      <c r="F138" s="105" t="s">
        <v>1607</v>
      </c>
      <c r="G138" s="105" t="s">
        <v>1606</v>
      </c>
      <c r="H138" s="103" t="s">
        <v>8</v>
      </c>
      <c r="I138" s="103" t="s">
        <v>340</v>
      </c>
      <c r="J138" s="222" t="s">
        <v>18</v>
      </c>
      <c r="K138" s="224"/>
      <c r="L138" s="224"/>
      <c r="M138" s="193"/>
      <c r="N138" s="229" t="s">
        <v>27</v>
      </c>
      <c r="O138" s="136"/>
      <c r="P138" s="105" t="s">
        <v>126</v>
      </c>
      <c r="Q138" s="105" t="s">
        <v>1484</v>
      </c>
      <c r="R138" s="105" t="s">
        <v>10</v>
      </c>
      <c r="S138" s="104"/>
      <c r="T138" s="106"/>
      <c r="U138" s="106" t="s">
        <v>24</v>
      </c>
      <c r="V138" s="105" t="s">
        <v>24</v>
      </c>
      <c r="W138" s="107"/>
      <c r="X138" s="107"/>
      <c r="Y138" s="192" t="str">
        <f>_xlfn.LET(_xlpm.v,_xlfn.XLOOKUP(E138,'[1]SME09-01_LHM'!$D:$D,'[1]SME09-01_LHM'!$AL:$AL),IF(_xlpm.v=0,"",_xlpm.v))</f>
        <v/>
      </c>
      <c r="Z138" s="104" t="str">
        <f>_xlfn.LET(_xlpm.v,IF(ISTEXT(Y138),_xlfn.XLOOKUP(Y138,'JP-PINT'!A:A,'JP-PINT'!B:B),""),IF(ISERROR(_xlpm.v),"",_xlpm.v))</f>
        <v/>
      </c>
      <c r="AA138" s="229" t="s">
        <v>24</v>
      </c>
    </row>
    <row r="139" spans="1:27" s="134" customFormat="1" ht="12.75" customHeight="1">
      <c r="A139" s="4">
        <f>IF(ISTEXT(E139),_xlfn.XLOOKUP(E139,'[1]SME09-01_LHM'!$D:$D,'[1]SME09-01_LHM'!$B:$B))</f>
        <v>191</v>
      </c>
      <c r="B139" s="4">
        <f>_xlfn.XLOOKUP(F139,'[1]SME09-01_LHM'!$I:$I,'[1]SME09-01_LHM'!$B:$B)</f>
        <v>191</v>
      </c>
      <c r="C139" s="102">
        <f>ROW()-25</f>
        <v>114</v>
      </c>
      <c r="D139" s="103" t="s">
        <v>1138</v>
      </c>
      <c r="E139" s="103" t="s">
        <v>1605</v>
      </c>
      <c r="F139" s="105" t="s">
        <v>1604</v>
      </c>
      <c r="G139" s="105" t="s">
        <v>1603</v>
      </c>
      <c r="H139" s="103" t="s">
        <v>8</v>
      </c>
      <c r="I139" s="103" t="s">
        <v>143</v>
      </c>
      <c r="J139" s="222" t="s">
        <v>18</v>
      </c>
      <c r="K139" s="224"/>
      <c r="L139" s="224"/>
      <c r="M139" s="193"/>
      <c r="N139" s="229" t="s">
        <v>27</v>
      </c>
      <c r="O139" s="136"/>
      <c r="P139" s="105" t="s">
        <v>126</v>
      </c>
      <c r="Q139" s="105" t="s">
        <v>1480</v>
      </c>
      <c r="R139" s="105" t="s">
        <v>10</v>
      </c>
      <c r="S139" s="104"/>
      <c r="T139" s="106"/>
      <c r="U139" s="106" t="s">
        <v>24</v>
      </c>
      <c r="V139" s="105" t="s">
        <v>24</v>
      </c>
      <c r="W139" s="107"/>
      <c r="X139" s="107"/>
      <c r="Y139" s="192" t="str">
        <f>_xlfn.LET(_xlpm.v,_xlfn.XLOOKUP(E139,'[1]SME09-01_LHM'!$D:$D,'[1]SME09-01_LHM'!$AL:$AL),IF(_xlpm.v=0,"",_xlpm.v))</f>
        <v/>
      </c>
      <c r="Z139" s="104" t="str">
        <f>_xlfn.LET(_xlpm.v,IF(ISTEXT(Y139),_xlfn.XLOOKUP(Y139,'JP-PINT'!A:A,'JP-PINT'!B:B),""),IF(ISERROR(_xlpm.v),"",_xlpm.v))</f>
        <v/>
      </c>
      <c r="AA139" s="229" t="s">
        <v>24</v>
      </c>
    </row>
    <row r="140" spans="1:27" s="134" customFormat="1" ht="12.75" customHeight="1">
      <c r="A140" s="4">
        <f>IF(ISTEXT(E140),_xlfn.XLOOKUP(E140,'[1]SME09-01_LHM'!$D:$D,'[1]SME09-01_LHM'!$B:$B))</f>
        <v>194</v>
      </c>
      <c r="B140" s="4">
        <f>_xlfn.XLOOKUP(F140,'[1]SME09-01_LHM'!$I:$I,'[1]SME09-01_LHM'!$B:$B)</f>
        <v>194</v>
      </c>
      <c r="C140" s="102">
        <f>ROW()-25</f>
        <v>115</v>
      </c>
      <c r="D140" s="103" t="s">
        <v>1138</v>
      </c>
      <c r="E140" s="103" t="s">
        <v>1602</v>
      </c>
      <c r="F140" s="105" t="s">
        <v>1601</v>
      </c>
      <c r="G140" s="105" t="s">
        <v>1600</v>
      </c>
      <c r="H140" s="103" t="s">
        <v>8</v>
      </c>
      <c r="I140" s="103" t="s">
        <v>340</v>
      </c>
      <c r="J140" s="222" t="s">
        <v>18</v>
      </c>
      <c r="K140" s="224"/>
      <c r="L140" s="224"/>
      <c r="M140" s="193"/>
      <c r="N140" s="229" t="s">
        <v>27</v>
      </c>
      <c r="O140" s="136"/>
      <c r="P140" s="105" t="s">
        <v>126</v>
      </c>
      <c r="Q140" s="104" t="s">
        <v>1473</v>
      </c>
      <c r="R140" s="105" t="s">
        <v>10</v>
      </c>
      <c r="S140" s="104"/>
      <c r="T140" s="106"/>
      <c r="U140" s="106" t="s">
        <v>24</v>
      </c>
      <c r="V140" s="105" t="s">
        <v>24</v>
      </c>
      <c r="W140" s="107"/>
      <c r="X140" s="107"/>
      <c r="Y140" s="192" t="str">
        <f>_xlfn.LET(_xlpm.v,_xlfn.XLOOKUP(E140,'[1]SME09-01_LHM'!$D:$D,'[1]SME09-01_LHM'!$AL:$AL),IF(_xlpm.v=0,"",_xlpm.v))</f>
        <v/>
      </c>
      <c r="Z140" s="104" t="str">
        <f>_xlfn.LET(_xlpm.v,IF(ISTEXT(Y140),_xlfn.XLOOKUP(Y140,'JP-PINT'!A:A,'JP-PINT'!B:B),""),IF(ISERROR(_xlpm.v),"",_xlpm.v))</f>
        <v/>
      </c>
      <c r="AA140" s="229" t="s">
        <v>24</v>
      </c>
    </row>
    <row r="141" spans="1:27" s="137" customFormat="1" ht="12.75" customHeight="1">
      <c r="A141" s="4">
        <f>IF(ISTEXT(E141),_xlfn.XLOOKUP(E141,'[1]SME09-01_LHM'!$D:$D,'[1]SME09-01_LHM'!$B:$B))</f>
        <v>197</v>
      </c>
      <c r="B141" s="4">
        <f>_xlfn.XLOOKUP(F141,'[1]SME09-01_LHM'!$I:$I,'[1]SME09-01_LHM'!$B:$B)</f>
        <v>197</v>
      </c>
      <c r="C141" s="102">
        <f>ROW()-25</f>
        <v>116</v>
      </c>
      <c r="D141" s="138" t="s">
        <v>1138</v>
      </c>
      <c r="E141" s="103" t="s">
        <v>1599</v>
      </c>
      <c r="F141" s="102" t="s">
        <v>1598</v>
      </c>
      <c r="G141" s="102" t="s">
        <v>1597</v>
      </c>
      <c r="H141" s="103" t="s">
        <v>8</v>
      </c>
      <c r="I141" s="103" t="s">
        <v>74</v>
      </c>
      <c r="J141" s="106" t="s">
        <v>18</v>
      </c>
      <c r="K141" s="171"/>
      <c r="L141" s="171"/>
      <c r="M141" s="146"/>
      <c r="N141" s="229" t="s">
        <v>27</v>
      </c>
      <c r="O141" s="136"/>
      <c r="P141" s="102" t="s">
        <v>126</v>
      </c>
      <c r="Q141" s="104" t="s">
        <v>1473</v>
      </c>
      <c r="R141" s="105" t="s">
        <v>10</v>
      </c>
      <c r="S141" s="104"/>
      <c r="T141" s="103"/>
      <c r="U141" s="103" t="s">
        <v>24</v>
      </c>
      <c r="V141" s="105" t="s">
        <v>24</v>
      </c>
      <c r="W141" s="107"/>
      <c r="X141" s="107"/>
      <c r="Y141" s="192" t="str">
        <f>_xlfn.LET(_xlpm.v,_xlfn.XLOOKUP(E141,'[1]SME09-01_LHM'!$D:$D,'[1]SME09-01_LHM'!$AL:$AL),IF(_xlpm.v=0,"",_xlpm.v))</f>
        <v/>
      </c>
      <c r="Z141" s="104" t="str">
        <f>_xlfn.LET(_xlpm.v,IF(ISTEXT(Y141),_xlfn.XLOOKUP(Y141,'JP-PINT'!A:A,'JP-PINT'!B:B),""),IF(ISERROR(_xlpm.v),"",_xlpm.v))</f>
        <v/>
      </c>
      <c r="AA141" s="229" t="s">
        <v>24</v>
      </c>
    </row>
    <row r="142" spans="1:27" s="137" customFormat="1" ht="12.75" customHeight="1">
      <c r="A142" s="4">
        <f>IF(ISTEXT(E142),_xlfn.XLOOKUP(E142,'[1]SME09-01_LHM'!$D:$D,'[1]SME09-01_LHM'!$B:$B))</f>
        <v>200</v>
      </c>
      <c r="B142" s="4">
        <f>_xlfn.XLOOKUP(F142,'[1]SME09-01_LHM'!$I:$I,'[1]SME09-01_LHM'!$B:$B)</f>
        <v>200</v>
      </c>
      <c r="C142" s="102">
        <f>ROW()-25</f>
        <v>117</v>
      </c>
      <c r="D142" s="103" t="s">
        <v>1138</v>
      </c>
      <c r="E142" s="103" t="s">
        <v>1596</v>
      </c>
      <c r="F142" s="105" t="s">
        <v>1595</v>
      </c>
      <c r="G142" s="105" t="s">
        <v>1594</v>
      </c>
      <c r="H142" s="103" t="s">
        <v>8</v>
      </c>
      <c r="I142" s="103" t="s">
        <v>143</v>
      </c>
      <c r="J142" s="222" t="s">
        <v>18</v>
      </c>
      <c r="K142" s="224"/>
      <c r="L142" s="224"/>
      <c r="M142" s="193"/>
      <c r="N142" s="229" t="s">
        <v>27</v>
      </c>
      <c r="O142" s="136"/>
      <c r="P142" s="105" t="s">
        <v>126</v>
      </c>
      <c r="Q142" s="105" t="s">
        <v>1446</v>
      </c>
      <c r="R142" s="105" t="s">
        <v>10</v>
      </c>
      <c r="S142" s="104"/>
      <c r="T142" s="103"/>
      <c r="U142" s="103" t="s">
        <v>24</v>
      </c>
      <c r="V142" s="105" t="s">
        <v>24</v>
      </c>
      <c r="W142" s="107"/>
      <c r="X142" s="107"/>
      <c r="Y142" s="192" t="str">
        <f>_xlfn.LET(_xlpm.v,_xlfn.XLOOKUP(E142,'[1]SME09-01_LHM'!$D:$D,'[1]SME09-01_LHM'!$AL:$AL),IF(_xlpm.v=0,"",_xlpm.v))</f>
        <v/>
      </c>
      <c r="Z142" s="104" t="str">
        <f>_xlfn.LET(_xlpm.v,IF(ISTEXT(Y142),_xlfn.XLOOKUP(Y142,'JP-PINT'!A:A,'JP-PINT'!B:B),""),IF(ISERROR(_xlpm.v),"",_xlpm.v))</f>
        <v/>
      </c>
      <c r="AA142" s="229" t="s">
        <v>24</v>
      </c>
    </row>
    <row r="143" spans="1:27" s="137" customFormat="1" ht="12.75" customHeight="1">
      <c r="A143" s="4">
        <f>IF(ISTEXT(E143),_xlfn.XLOOKUP(E143,'[1]SME09-01_LHM'!$D:$D,'[1]SME09-01_LHM'!$B:$B))</f>
        <v>201</v>
      </c>
      <c r="B143" s="4">
        <f>_xlfn.XLOOKUP(F143,'[1]SME09-01_LHM'!$I:$I,'[1]SME09-01_LHM'!$B:$B)</f>
        <v>201</v>
      </c>
      <c r="C143" s="102">
        <f>ROW()-25</f>
        <v>118</v>
      </c>
      <c r="D143" s="103" t="s">
        <v>1138</v>
      </c>
      <c r="E143" s="103" t="s">
        <v>1593</v>
      </c>
      <c r="F143" s="93" t="s">
        <v>2137</v>
      </c>
      <c r="G143" s="105" t="s">
        <v>1592</v>
      </c>
      <c r="H143" s="103" t="s">
        <v>8</v>
      </c>
      <c r="I143" s="103" t="s">
        <v>143</v>
      </c>
      <c r="J143" s="222" t="s">
        <v>18</v>
      </c>
      <c r="K143" s="224"/>
      <c r="L143" s="224"/>
      <c r="M143" s="193"/>
      <c r="N143" s="229" t="s">
        <v>27</v>
      </c>
      <c r="O143" s="136"/>
      <c r="P143" s="105" t="s">
        <v>126</v>
      </c>
      <c r="Q143" s="105" t="s">
        <v>1012</v>
      </c>
      <c r="R143" s="105" t="s">
        <v>25</v>
      </c>
      <c r="S143" s="104"/>
      <c r="T143" s="103"/>
      <c r="U143" s="103" t="s">
        <v>24</v>
      </c>
      <c r="V143" s="105" t="s">
        <v>24</v>
      </c>
      <c r="W143" s="107"/>
      <c r="X143" s="107"/>
      <c r="Y143" s="192" t="str">
        <f>_xlfn.LET(_xlpm.v,_xlfn.XLOOKUP(E143,'[1]SME09-01_LHM'!$D:$D,'[1]SME09-01_LHM'!$AL:$AL),IF(_xlpm.v=0,"",_xlpm.v))</f>
        <v/>
      </c>
      <c r="Z143" s="104" t="str">
        <f>_xlfn.LET(_xlpm.v,IF(ISTEXT(Y143),_xlfn.XLOOKUP(Y143,'JP-PINT'!A:A,'JP-PINT'!B:B),""),IF(ISERROR(_xlpm.v),"",_xlpm.v))</f>
        <v/>
      </c>
      <c r="AA143" s="229" t="s">
        <v>24</v>
      </c>
    </row>
    <row r="144" spans="1:27" s="137" customFormat="1" ht="12.75" customHeight="1">
      <c r="A144" s="4">
        <f>IF(ISTEXT(E144),_xlfn.XLOOKUP(E144,'[1]SME09-01_LHM'!$D:$D,'[1]SME09-01_LHM'!$B:$B))</f>
        <v>203</v>
      </c>
      <c r="B144" s="4">
        <f>_xlfn.XLOOKUP(F144,'[1]SME09-01_LHM'!$I:$I,'[1]SME09-01_LHM'!$B:$B)</f>
        <v>203</v>
      </c>
      <c r="C144" s="102">
        <f>ROW()-25</f>
        <v>119</v>
      </c>
      <c r="D144" s="103" t="s">
        <v>1138</v>
      </c>
      <c r="E144" s="103" t="s">
        <v>1591</v>
      </c>
      <c r="F144" s="105" t="s">
        <v>1590</v>
      </c>
      <c r="G144" s="105" t="s">
        <v>1589</v>
      </c>
      <c r="H144" s="103" t="s">
        <v>8</v>
      </c>
      <c r="I144" s="103" t="s">
        <v>143</v>
      </c>
      <c r="J144" s="222" t="s">
        <v>18</v>
      </c>
      <c r="K144" s="224"/>
      <c r="L144" s="224"/>
      <c r="M144" s="193"/>
      <c r="N144" s="229" t="s">
        <v>27</v>
      </c>
      <c r="O144" s="136"/>
      <c r="P144" s="105" t="s">
        <v>126</v>
      </c>
      <c r="Q144" s="105" t="s">
        <v>1007</v>
      </c>
      <c r="R144" s="105" t="s">
        <v>10</v>
      </c>
      <c r="S144" s="104"/>
      <c r="T144" s="103"/>
      <c r="U144" s="103" t="s">
        <v>24</v>
      </c>
      <c r="V144" s="105" t="s">
        <v>24</v>
      </c>
      <c r="W144" s="107"/>
      <c r="X144" s="107"/>
      <c r="Y144" s="192" t="str">
        <f>_xlfn.LET(_xlpm.v,_xlfn.XLOOKUP(E144,'[1]SME09-01_LHM'!$D:$D,'[1]SME09-01_LHM'!$AL:$AL),IF(_xlpm.v=0,"",_xlpm.v))</f>
        <v/>
      </c>
      <c r="Z144" s="104" t="str">
        <f>_xlfn.LET(_xlpm.v,IF(ISTEXT(Y144),_xlfn.XLOOKUP(Y144,'JP-PINT'!A:A,'JP-PINT'!B:B),""),IF(ISERROR(_xlpm.v),"",_xlpm.v))</f>
        <v/>
      </c>
      <c r="AA144" s="229" t="s">
        <v>24</v>
      </c>
    </row>
    <row r="145" spans="1:27" s="137" customFormat="1" ht="12.75" customHeight="1">
      <c r="A145" s="4">
        <f>IF(ISTEXT(E145),_xlfn.XLOOKUP(E145,'[1]SME09-01_LHM'!$D:$D,'[1]SME09-01_LHM'!$B:$B))</f>
        <v>204</v>
      </c>
      <c r="B145" s="4">
        <f>_xlfn.XLOOKUP(F145,'[1]SME09-01_LHM'!$I:$I,'[1]SME09-01_LHM'!$B:$B)</f>
        <v>204</v>
      </c>
      <c r="C145" s="102">
        <f>ROW()-25</f>
        <v>120</v>
      </c>
      <c r="D145" s="103" t="s">
        <v>1138</v>
      </c>
      <c r="E145" s="103" t="s">
        <v>1588</v>
      </c>
      <c r="F145" s="105" t="s">
        <v>1587</v>
      </c>
      <c r="G145" s="105" t="s">
        <v>1586</v>
      </c>
      <c r="H145" s="103" t="s">
        <v>8</v>
      </c>
      <c r="I145" s="103" t="s">
        <v>143</v>
      </c>
      <c r="J145" s="222" t="s">
        <v>18</v>
      </c>
      <c r="K145" s="224"/>
      <c r="L145" s="224"/>
      <c r="M145" s="193"/>
      <c r="N145" s="229" t="s">
        <v>27</v>
      </c>
      <c r="O145" s="136"/>
      <c r="P145" s="105" t="s">
        <v>126</v>
      </c>
      <c r="Q145" s="105" t="s">
        <v>1002</v>
      </c>
      <c r="R145" s="105" t="s">
        <v>10</v>
      </c>
      <c r="S145" s="104"/>
      <c r="T145" s="106"/>
      <c r="U145" s="106" t="s">
        <v>24</v>
      </c>
      <c r="V145" s="105" t="s">
        <v>24</v>
      </c>
      <c r="W145" s="107"/>
      <c r="X145" s="107"/>
      <c r="Y145" s="192" t="str">
        <f>_xlfn.LET(_xlpm.v,_xlfn.XLOOKUP(E145,'[1]SME09-01_LHM'!$D:$D,'[1]SME09-01_LHM'!$AL:$AL),IF(_xlpm.v=0,"",_xlpm.v))</f>
        <v/>
      </c>
      <c r="Z145" s="104" t="str">
        <f>_xlfn.LET(_xlpm.v,IF(ISTEXT(Y145),_xlfn.XLOOKUP(Y145,'JP-PINT'!A:A,'JP-PINT'!B:B),""),IF(ISERROR(_xlpm.v),"",_xlpm.v))</f>
        <v/>
      </c>
      <c r="AA145" s="229" t="s">
        <v>24</v>
      </c>
    </row>
    <row r="146" spans="1:27" s="137" customFormat="1" ht="12.75" customHeight="1">
      <c r="A146" s="4">
        <f>IF(ISTEXT(E146),_xlfn.XLOOKUP(E146,'[1]SME09-01_LHM'!$D:$D,'[1]SME09-01_LHM'!$B:$B))</f>
        <v>205</v>
      </c>
      <c r="B146" s="4">
        <f>_xlfn.XLOOKUP(F146,'[1]SME09-01_LHM'!$I:$I,'[1]SME09-01_LHM'!$B:$B)</f>
        <v>205</v>
      </c>
      <c r="C146" s="102">
        <f>ROW()-25</f>
        <v>121</v>
      </c>
      <c r="D146" s="103" t="s">
        <v>1138</v>
      </c>
      <c r="E146" s="103" t="s">
        <v>1585</v>
      </c>
      <c r="F146" s="105" t="s">
        <v>1584</v>
      </c>
      <c r="G146" s="105" t="s">
        <v>1583</v>
      </c>
      <c r="H146" s="103" t="s">
        <v>8</v>
      </c>
      <c r="I146" s="103" t="s">
        <v>143</v>
      </c>
      <c r="J146" s="222" t="s">
        <v>18</v>
      </c>
      <c r="K146" s="224"/>
      <c r="L146" s="224"/>
      <c r="M146" s="193"/>
      <c r="N146" s="229" t="s">
        <v>27</v>
      </c>
      <c r="O146" s="136"/>
      <c r="P146" s="105" t="s">
        <v>126</v>
      </c>
      <c r="Q146" s="105" t="s">
        <v>997</v>
      </c>
      <c r="R146" s="105" t="s">
        <v>10</v>
      </c>
      <c r="S146" s="104"/>
      <c r="T146" s="106"/>
      <c r="U146" s="106" t="s">
        <v>24</v>
      </c>
      <c r="V146" s="105" t="s">
        <v>24</v>
      </c>
      <c r="W146" s="107"/>
      <c r="X146" s="107"/>
      <c r="Y146" s="192" t="str">
        <f>_xlfn.LET(_xlpm.v,_xlfn.XLOOKUP(E146,'[1]SME09-01_LHM'!$D:$D,'[1]SME09-01_LHM'!$AL:$AL),IF(_xlpm.v=0,"",_xlpm.v))</f>
        <v/>
      </c>
      <c r="Z146" s="104" t="str">
        <f>_xlfn.LET(_xlpm.v,IF(ISTEXT(Y146),_xlfn.XLOOKUP(Y146,'JP-PINT'!A:A,'JP-PINT'!B:B),""),IF(ISERROR(_xlpm.v),"",_xlpm.v))</f>
        <v/>
      </c>
      <c r="AA146" s="229" t="s">
        <v>24</v>
      </c>
    </row>
    <row r="147" spans="1:27" s="134" customFormat="1" ht="12.75" customHeight="1">
      <c r="A147" s="4">
        <f>IF(ISTEXT(E147),_xlfn.XLOOKUP(E147,'[1]SME09-01_LHM'!$D:$D,'[1]SME09-01_LHM'!$B:$B))</f>
        <v>206</v>
      </c>
      <c r="B147" s="4">
        <f>_xlfn.XLOOKUP(F147,'[1]SME09-01_LHM'!$I:$I,'[1]SME09-01_LHM'!$B:$B)</f>
        <v>206</v>
      </c>
      <c r="C147" s="102">
        <f>ROW()-25</f>
        <v>122</v>
      </c>
      <c r="D147" s="103" t="s">
        <v>1138</v>
      </c>
      <c r="E147" s="103" t="s">
        <v>1582</v>
      </c>
      <c r="F147" s="105" t="s">
        <v>1581</v>
      </c>
      <c r="G147" s="105" t="s">
        <v>1580</v>
      </c>
      <c r="H147" s="103" t="s">
        <v>8</v>
      </c>
      <c r="I147" s="103" t="s">
        <v>143</v>
      </c>
      <c r="J147" s="222" t="s">
        <v>18</v>
      </c>
      <c r="K147" s="224"/>
      <c r="L147" s="224"/>
      <c r="M147" s="193"/>
      <c r="N147" s="229" t="s">
        <v>27</v>
      </c>
      <c r="O147" s="136"/>
      <c r="P147" s="105" t="s">
        <v>126</v>
      </c>
      <c r="Q147" s="105" t="s">
        <v>992</v>
      </c>
      <c r="R147" s="105" t="s">
        <v>10</v>
      </c>
      <c r="S147" s="104"/>
      <c r="T147" s="106"/>
      <c r="U147" s="106" t="s">
        <v>24</v>
      </c>
      <c r="V147" s="105" t="s">
        <v>24</v>
      </c>
      <c r="W147" s="107"/>
      <c r="X147" s="107"/>
      <c r="Y147" s="192" t="str">
        <f>_xlfn.LET(_xlpm.v,_xlfn.XLOOKUP(E147,'[1]SME09-01_LHM'!$D:$D,'[1]SME09-01_LHM'!$AL:$AL),IF(_xlpm.v=0,"",_xlpm.v))</f>
        <v/>
      </c>
      <c r="Z147" s="104" t="str">
        <f>_xlfn.LET(_xlpm.v,IF(ISTEXT(Y147),_xlfn.XLOOKUP(Y147,'JP-PINT'!A:A,'JP-PINT'!B:B),""),IF(ISERROR(_xlpm.v),"",_xlpm.v))</f>
        <v/>
      </c>
      <c r="AA147" s="229" t="s">
        <v>24</v>
      </c>
    </row>
    <row r="148" spans="1:27" s="137" customFormat="1" ht="12.75" customHeight="1">
      <c r="A148" s="4">
        <f>IF(ISTEXT(E148),_xlfn.XLOOKUP(E148,'[1]SME09-01_LHM'!$D:$D,'[1]SME09-01_LHM'!$B:$B))</f>
        <v>207</v>
      </c>
      <c r="B148" s="4">
        <f>_xlfn.XLOOKUP(F148,'[1]SME09-01_LHM'!$I:$I,'[1]SME09-01_LHM'!$B:$B)</f>
        <v>207</v>
      </c>
      <c r="C148" s="102">
        <f>ROW()-25</f>
        <v>123</v>
      </c>
      <c r="D148" s="103" t="s">
        <v>1138</v>
      </c>
      <c r="E148" s="103" t="s">
        <v>1579</v>
      </c>
      <c r="F148" s="105" t="s">
        <v>1578</v>
      </c>
      <c r="G148" s="105" t="s">
        <v>1577</v>
      </c>
      <c r="H148" s="103" t="s">
        <v>31</v>
      </c>
      <c r="I148" s="103" t="s">
        <v>143</v>
      </c>
      <c r="J148" s="222" t="s">
        <v>18</v>
      </c>
      <c r="K148" s="224"/>
      <c r="L148" s="224"/>
      <c r="M148" s="193"/>
      <c r="N148" s="229" t="s">
        <v>27</v>
      </c>
      <c r="O148" s="136"/>
      <c r="P148" s="105" t="s">
        <v>126</v>
      </c>
      <c r="Q148" s="105" t="s">
        <v>987</v>
      </c>
      <c r="R148" s="105" t="s">
        <v>10</v>
      </c>
      <c r="S148" s="104" t="s">
        <v>14</v>
      </c>
      <c r="T148" s="106" t="s">
        <v>13</v>
      </c>
      <c r="U148" s="106" t="s">
        <v>12</v>
      </c>
      <c r="V148" s="105" t="s">
        <v>11</v>
      </c>
      <c r="W148" s="107"/>
      <c r="X148" s="107"/>
      <c r="Y148" s="192" t="str">
        <f>_xlfn.LET(_xlpm.v,_xlfn.XLOOKUP(E148,'[1]SME09-01_LHM'!$D:$D,'[1]SME09-01_LHM'!$AL:$AL),IF(_xlpm.v=0,"",_xlpm.v))</f>
        <v/>
      </c>
      <c r="Z148" s="104" t="str">
        <f>_xlfn.LET(_xlpm.v,IF(ISTEXT(Y148),_xlfn.XLOOKUP(Y148,'JP-PINT'!A:A,'JP-PINT'!B:B),""),IF(ISERROR(_xlpm.v),"",_xlpm.v))</f>
        <v/>
      </c>
      <c r="AA148" s="229" t="s">
        <v>24</v>
      </c>
    </row>
    <row r="149" spans="1:27" s="6" customFormat="1" ht="12.75" customHeight="1">
      <c r="A149" s="4">
        <f>IF(ISTEXT(E149),_xlfn.XLOOKUP(E149,'[1]SME09-01_LHM'!$D:$D,'[1]SME09-01_LHM'!$B:$B))</f>
        <v>208</v>
      </c>
      <c r="B149" s="4">
        <f>_xlfn.XLOOKUP(F149,'[1]SME09-01_LHM'!$I:$I,'[1]SME09-01_LHM'!$B:$B)</f>
        <v>208</v>
      </c>
      <c r="C149" s="22">
        <f>ROW()-25</f>
        <v>124</v>
      </c>
      <c r="D149" s="26" t="s">
        <v>1138</v>
      </c>
      <c r="E149" s="208" t="s">
        <v>1452</v>
      </c>
      <c r="F149" s="93" t="s">
        <v>2152</v>
      </c>
      <c r="G149" s="25" t="s">
        <v>1576</v>
      </c>
      <c r="H149" s="26" t="s">
        <v>8</v>
      </c>
      <c r="I149" s="26" t="s">
        <v>19</v>
      </c>
      <c r="J149" s="201" t="s">
        <v>18</v>
      </c>
      <c r="K149" s="245"/>
      <c r="L149" s="245"/>
      <c r="M149" s="189"/>
      <c r="N149" s="243" t="s">
        <v>27</v>
      </c>
      <c r="O149" s="7"/>
      <c r="P149" s="105" t="s">
        <v>126</v>
      </c>
      <c r="Q149" s="105" t="s">
        <v>1450</v>
      </c>
      <c r="R149" s="105" t="s">
        <v>25</v>
      </c>
      <c r="S149" s="104"/>
      <c r="T149" s="106" t="s">
        <v>133</v>
      </c>
      <c r="U149" s="106" t="s">
        <v>24</v>
      </c>
      <c r="V149" s="105" t="s">
        <v>24</v>
      </c>
      <c r="W149" s="3" t="s">
        <v>25</v>
      </c>
      <c r="X149" s="3" t="s">
        <v>25</v>
      </c>
      <c r="Y149" s="182" t="str">
        <f>_xlfn.LET(_xlpm.v,_xlfn.XLOOKUP(E149,'[1]SME09-01_LHM'!$D:$D,'[1]SME09-01_LHM'!$AL:$AL),IF(_xlpm.v=0,"",_xlpm.v))</f>
        <v/>
      </c>
      <c r="Z149" s="104" t="str">
        <f>_xlfn.LET(_xlpm.v,IF(ISTEXT(Y149),_xlfn.XLOOKUP(Y149,'JP-PINT'!A:A,'JP-PINT'!B:B),""),IF(ISERROR(_xlpm.v),"",_xlpm.v))</f>
        <v/>
      </c>
      <c r="AA149" s="243" t="s">
        <v>24</v>
      </c>
    </row>
    <row r="150" spans="1:27" s="6" customFormat="1" ht="12.75" customHeight="1">
      <c r="A150" s="4">
        <f>IF(ISTEXT(E150),_xlfn.XLOOKUP(E150,'[1]SME09-01_LHM'!$D:$D,'[1]SME09-01_LHM'!$B:$B))</f>
        <v>210</v>
      </c>
      <c r="B150" s="4">
        <f>_xlfn.XLOOKUP(F150,'[1]SME09-01_LHM'!$I:$I,'[1]SME09-01_LHM'!$B:$B)</f>
        <v>210</v>
      </c>
      <c r="C150" s="22">
        <f>ROW()-25</f>
        <v>125</v>
      </c>
      <c r="D150" s="35" t="s">
        <v>1138</v>
      </c>
      <c r="E150" s="35" t="s">
        <v>1575</v>
      </c>
      <c r="F150" s="37" t="s">
        <v>1574</v>
      </c>
      <c r="G150" s="37" t="s">
        <v>1573</v>
      </c>
      <c r="H150" s="16" t="s">
        <v>8</v>
      </c>
      <c r="I150" s="39" t="s">
        <v>127</v>
      </c>
      <c r="J150" s="197" t="s">
        <v>66</v>
      </c>
      <c r="K150" s="242"/>
      <c r="L150" s="242"/>
      <c r="M150" s="186"/>
      <c r="N150" s="181"/>
      <c r="O150" s="246"/>
      <c r="P150" s="105" t="s">
        <v>126</v>
      </c>
      <c r="Q150" s="105" t="s">
        <v>1446</v>
      </c>
      <c r="R150" s="105" t="s">
        <v>10</v>
      </c>
      <c r="S150" s="104" t="s">
        <v>1021</v>
      </c>
      <c r="T150" s="106" t="s">
        <v>13</v>
      </c>
      <c r="U150" s="106" t="s">
        <v>1445</v>
      </c>
      <c r="V150" s="150" t="s">
        <v>1444</v>
      </c>
      <c r="W150" s="247" t="s">
        <v>10</v>
      </c>
      <c r="X150" s="247" t="s">
        <v>10</v>
      </c>
      <c r="Y150" s="182" t="str">
        <f>_xlfn.LET(_xlpm.v,_xlfn.XLOOKUP(E150,'[1]SME09-01_LHM'!$D:$D,'[1]SME09-01_LHM'!$AL:$AL),IF(_xlpm.v=0,"",_xlpm.v))</f>
        <v/>
      </c>
      <c r="Z150" s="104" t="str">
        <f>_xlfn.LET(_xlpm.v,IF(ISTEXT(Y150),_xlfn.XLOOKUP(Y150,'JP-PINT'!A:A,'JP-PINT'!B:B),""),IF(ISERROR(_xlpm.v),"",_xlpm.v))</f>
        <v/>
      </c>
      <c r="AA150" s="248"/>
    </row>
    <row r="151" spans="1:27" s="249" customFormat="1" ht="12.75" customHeight="1">
      <c r="A151" s="4">
        <f>IF(ISTEXT(E151),_xlfn.XLOOKUP(E151,'[1]SME09-01_LHM'!$D:$D,'[1]SME09-01_LHM'!$B:$B))</f>
        <v>211</v>
      </c>
      <c r="B151" s="4">
        <f>_xlfn.XLOOKUP(F151,'[1]SME09-01_LHM'!$I:$I,'[1]SME09-01_LHM'!$B:$B)</f>
        <v>211</v>
      </c>
      <c r="C151" s="22">
        <f>ROW()-25</f>
        <v>126</v>
      </c>
      <c r="D151" s="35" t="s">
        <v>1138</v>
      </c>
      <c r="E151" s="35" t="s">
        <v>1572</v>
      </c>
      <c r="F151" s="93" t="s">
        <v>2141</v>
      </c>
      <c r="G151" s="37" t="s">
        <v>1442</v>
      </c>
      <c r="H151" s="16"/>
      <c r="I151" s="39" t="s">
        <v>127</v>
      </c>
      <c r="J151" s="197" t="s">
        <v>66</v>
      </c>
      <c r="K151" s="242"/>
      <c r="L151" s="242"/>
      <c r="M151" s="186"/>
      <c r="N151" s="181"/>
      <c r="O151" s="246"/>
      <c r="P151" s="105" t="s">
        <v>126</v>
      </c>
      <c r="Q151" s="105"/>
      <c r="R151" s="105" t="s">
        <v>430</v>
      </c>
      <c r="S151" s="104"/>
      <c r="T151" s="106" t="s">
        <v>103</v>
      </c>
      <c r="U151" s="106" t="s">
        <v>24</v>
      </c>
      <c r="V151" s="104"/>
      <c r="W151" s="247" t="s">
        <v>429</v>
      </c>
      <c r="X151" s="247" t="s">
        <v>429</v>
      </c>
      <c r="Y151" s="182" t="str">
        <f>_xlfn.LET(_xlpm.v,_xlfn.XLOOKUP(E151,'[1]SME09-01_LHM'!$D:$D,'[1]SME09-01_LHM'!$AL:$AL),IF(_xlpm.v=0,"",_xlpm.v))</f>
        <v/>
      </c>
      <c r="Z151" s="104" t="str">
        <f>_xlfn.LET(_xlpm.v,IF(ISTEXT(Y151),_xlfn.XLOOKUP(Y151,'JP-PINT'!A:A,'JP-PINT'!B:B),""),IF(ISERROR(_xlpm.v),"",_xlpm.v))</f>
        <v/>
      </c>
      <c r="AA151" s="248"/>
    </row>
    <row r="152" spans="1:27" s="249" customFormat="1" ht="12.75" customHeight="1">
      <c r="A152" s="4">
        <f>IF(ISTEXT(E152),_xlfn.XLOOKUP(E152,'[1]SME09-01_LHM'!$D:$D,'[1]SME09-01_LHM'!$B:$B))</f>
        <v>212</v>
      </c>
      <c r="B152" s="4">
        <f>_xlfn.XLOOKUP(F152,'[1]SME09-01_LHM'!$I:$I,'[1]SME09-01_LHM'!$B:$B)</f>
        <v>212</v>
      </c>
      <c r="C152" s="22">
        <f>ROW()-25</f>
        <v>127</v>
      </c>
      <c r="D152" s="26" t="s">
        <v>1138</v>
      </c>
      <c r="E152" s="208" t="s">
        <v>1571</v>
      </c>
      <c r="F152" s="93" t="s">
        <v>2144</v>
      </c>
      <c r="G152" s="25" t="s">
        <v>1570</v>
      </c>
      <c r="H152" s="26" t="s">
        <v>8</v>
      </c>
      <c r="I152" s="26" t="s">
        <v>143</v>
      </c>
      <c r="J152" s="201" t="s">
        <v>18</v>
      </c>
      <c r="K152" s="199" t="s">
        <v>18</v>
      </c>
      <c r="L152" s="245"/>
      <c r="M152" s="189"/>
      <c r="N152" s="181" t="s">
        <v>46</v>
      </c>
      <c r="O152" s="7"/>
      <c r="P152" s="105" t="s">
        <v>126</v>
      </c>
      <c r="Q152" s="105" t="s">
        <v>1569</v>
      </c>
      <c r="R152" s="105" t="s">
        <v>25</v>
      </c>
      <c r="S152" s="104"/>
      <c r="T152" s="106" t="s">
        <v>1139</v>
      </c>
      <c r="U152" s="106" t="s">
        <v>24</v>
      </c>
      <c r="V152" s="105" t="s">
        <v>24</v>
      </c>
      <c r="W152" s="3" t="s">
        <v>25</v>
      </c>
      <c r="X152" s="3"/>
      <c r="Y152" s="182" t="str">
        <f>_xlfn.LET(_xlpm.v,_xlfn.XLOOKUP(E152,'[1]SME09-01_LHM'!$D:$D,'[1]SME09-01_LHM'!$AL:$AL),IF(_xlpm.v=0,"",_xlpm.v))</f>
        <v>IBG-10</v>
      </c>
      <c r="Z152" s="104" t="str">
        <f>_xlfn.LET(_xlpm.v,IF(ISTEXT(Y152),_xlfn.XLOOKUP(Y152,'JP-PINT'!A:A,'JP-PINT'!B:B),""),IF(ISERROR(_xlpm.v),"",_xlpm.v))</f>
        <v>PAYEE</v>
      </c>
      <c r="AA152" s="16" t="s">
        <v>8</v>
      </c>
    </row>
    <row r="153" spans="1:27" s="134" customFormat="1" ht="12.75" customHeight="1">
      <c r="A153" s="4">
        <f>IF(ISTEXT(E153),_xlfn.XLOOKUP(E153,'[1]SME09-01_LHM'!$D:$D,'[1]SME09-01_LHM'!$B:$B))</f>
        <v>214</v>
      </c>
      <c r="B153" s="4">
        <f>_xlfn.XLOOKUP(F153,'[1]SME09-01_LHM'!$I:$I,'[1]SME09-01_LHM'!$B:$B)</f>
        <v>214</v>
      </c>
      <c r="C153" s="102">
        <f>ROW()-25</f>
        <v>128</v>
      </c>
      <c r="D153" s="103" t="s">
        <v>1138</v>
      </c>
      <c r="E153" s="103" t="s">
        <v>1566</v>
      </c>
      <c r="F153" s="105" t="s">
        <v>1565</v>
      </c>
      <c r="G153" s="105" t="s">
        <v>1564</v>
      </c>
      <c r="H153" s="103" t="s">
        <v>8</v>
      </c>
      <c r="I153" s="103" t="s">
        <v>143</v>
      </c>
      <c r="J153" s="222" t="s">
        <v>18</v>
      </c>
      <c r="K153" s="223" t="s">
        <v>18</v>
      </c>
      <c r="L153" s="224"/>
      <c r="M153" s="193"/>
      <c r="N153" s="223" t="s">
        <v>46</v>
      </c>
      <c r="O153" s="136"/>
      <c r="P153" s="105" t="s">
        <v>126</v>
      </c>
      <c r="Q153" s="105" t="s">
        <v>1026</v>
      </c>
      <c r="R153" s="105" t="s">
        <v>10</v>
      </c>
      <c r="S153" s="104"/>
      <c r="T153" s="106" t="s">
        <v>1139</v>
      </c>
      <c r="U153" s="106" t="s">
        <v>24</v>
      </c>
      <c r="V153" s="105" t="s">
        <v>24</v>
      </c>
      <c r="W153" s="107" t="s">
        <v>10</v>
      </c>
      <c r="X153" s="107"/>
      <c r="Y153" s="192" t="str">
        <f>_xlfn.LET(_xlpm.v,_xlfn.XLOOKUP(E153,'[1]SME09-01_LHM'!$D:$D,'[1]SME09-01_LHM'!$AL:$AL),IF(_xlpm.v=0,"",_xlpm.v))</f>
        <v>IBT-060</v>
      </c>
      <c r="Z153" s="104" t="str">
        <f>_xlfn.LET(_xlpm.v,IF(ISTEXT(Y153),_xlfn.XLOOKUP(Y153,'JP-PINT'!A:A,'JP-PINT'!B:B),""),IF(ISERROR(_xlpm.v),"",_xlpm.v))</f>
        <v>&gt; Payee identifier</v>
      </c>
      <c r="AA153" s="138" t="s">
        <v>8</v>
      </c>
    </row>
    <row r="154" spans="1:27" s="137" customFormat="1" ht="12.75" customHeight="1">
      <c r="A154" s="4">
        <f>IF(ISTEXT(E154),_xlfn.XLOOKUP(E154,'[1]SME09-01_LHM'!$D:$D,'[1]SME09-01_LHM'!$B:$B))</f>
        <v>215</v>
      </c>
      <c r="B154" s="4">
        <f>_xlfn.XLOOKUP(F154,'[1]SME09-01_LHM'!$I:$I,'[1]SME09-01_LHM'!$B:$B)</f>
        <v>215</v>
      </c>
      <c r="C154" s="102">
        <f>ROW()-25</f>
        <v>129</v>
      </c>
      <c r="D154" s="103" t="s">
        <v>1138</v>
      </c>
      <c r="E154" s="103" t="s">
        <v>1562</v>
      </c>
      <c r="F154" s="105" t="s">
        <v>1561</v>
      </c>
      <c r="G154" s="105" t="s">
        <v>1560</v>
      </c>
      <c r="H154" s="103" t="s">
        <v>8</v>
      </c>
      <c r="I154" s="103" t="s">
        <v>143</v>
      </c>
      <c r="J154" s="222" t="s">
        <v>18</v>
      </c>
      <c r="K154" s="223" t="s">
        <v>18</v>
      </c>
      <c r="L154" s="224"/>
      <c r="M154" s="193"/>
      <c r="N154" s="223" t="s">
        <v>17</v>
      </c>
      <c r="O154" s="136"/>
      <c r="P154" s="105" t="s">
        <v>126</v>
      </c>
      <c r="Q154" s="105" t="s">
        <v>1022</v>
      </c>
      <c r="R154" s="105" t="s">
        <v>10</v>
      </c>
      <c r="S154" s="104" t="s">
        <v>1021</v>
      </c>
      <c r="T154" s="106" t="s">
        <v>13</v>
      </c>
      <c r="U154" s="106" t="s">
        <v>24</v>
      </c>
      <c r="V154" s="105" t="s">
        <v>24</v>
      </c>
      <c r="W154" s="107" t="s">
        <v>10</v>
      </c>
      <c r="X154" s="107"/>
      <c r="Y154" s="192" t="str">
        <f>_xlfn.LET(_xlpm.v,_xlfn.XLOOKUP(E154,'[1]SME09-01_LHM'!$D:$D,'[1]SME09-01_LHM'!$AL:$AL),IF(_xlpm.v=0,"",_xlpm.v))</f>
        <v>IBT-061</v>
      </c>
      <c r="Z154" s="104" t="str">
        <f>_xlfn.LET(_xlpm.v,IF(ISTEXT(Y154),_xlfn.XLOOKUP(Y154,'JP-PINT'!A:A,'JP-PINT'!B:B),""),IF(ISERROR(_xlpm.v),"",_xlpm.v))</f>
        <v>&gt; Payee legal registration identifier</v>
      </c>
      <c r="AA154" s="138" t="s">
        <v>8</v>
      </c>
    </row>
    <row r="155" spans="1:27" s="137" customFormat="1" ht="12.75" customHeight="1">
      <c r="A155" s="4">
        <f>IF(ISTEXT(E155),_xlfn.XLOOKUP(E155,'[1]SME09-01_LHM'!$D:$D,'[1]SME09-01_LHM'!$B:$B))</f>
        <v>216</v>
      </c>
      <c r="B155" s="4">
        <f>_xlfn.XLOOKUP(F155,'[1]SME09-01_LHM'!$I:$I,'[1]SME09-01_LHM'!$B:$B)</f>
        <v>216</v>
      </c>
      <c r="C155" s="102">
        <f>ROW()-25</f>
        <v>130</v>
      </c>
      <c r="D155" s="103" t="s">
        <v>1138</v>
      </c>
      <c r="E155" s="103" t="s">
        <v>1558</v>
      </c>
      <c r="F155" s="105" t="s">
        <v>1557</v>
      </c>
      <c r="G155" s="105" t="s">
        <v>1556</v>
      </c>
      <c r="H155" s="103" t="s">
        <v>8</v>
      </c>
      <c r="I155" s="103" t="s">
        <v>143</v>
      </c>
      <c r="J155" s="222" t="s">
        <v>18</v>
      </c>
      <c r="K155" s="223" t="s">
        <v>18</v>
      </c>
      <c r="L155" s="224"/>
      <c r="M155" s="193"/>
      <c r="N155" s="223" t="s">
        <v>183</v>
      </c>
      <c r="O155" s="136"/>
      <c r="P155" s="105" t="s">
        <v>126</v>
      </c>
      <c r="Q155" s="105" t="s">
        <v>1016</v>
      </c>
      <c r="R155" s="105" t="s">
        <v>10</v>
      </c>
      <c r="S155" s="104"/>
      <c r="T155" s="103"/>
      <c r="U155" s="106" t="s">
        <v>24</v>
      </c>
      <c r="V155" s="105" t="s">
        <v>24</v>
      </c>
      <c r="W155" s="107" t="s">
        <v>10</v>
      </c>
      <c r="X155" s="107"/>
      <c r="Y155" s="192" t="str">
        <f>_xlfn.LET(_xlpm.v,_xlfn.XLOOKUP(E155,'[1]SME09-01_LHM'!$D:$D,'[1]SME09-01_LHM'!$AL:$AL),IF(_xlpm.v=0,"",_xlpm.v))</f>
        <v>IBT-059</v>
      </c>
      <c r="Z155" s="104" t="str">
        <f>_xlfn.LET(_xlpm.v,IF(ISTEXT(Y155),_xlfn.XLOOKUP(Y155,'JP-PINT'!A:A,'JP-PINT'!B:B),""),IF(ISERROR(_xlpm.v),"",_xlpm.v))</f>
        <v>&gt; Payee name</v>
      </c>
      <c r="AA155" s="138" t="s">
        <v>31</v>
      </c>
    </row>
    <row r="156" spans="1:27" s="137" customFormat="1" ht="12.75" customHeight="1">
      <c r="A156" s="4">
        <f>IF(ISTEXT(E156),_xlfn.XLOOKUP(E156,'[1]SME09-01_LHM'!$D:$D,'[1]SME09-01_LHM'!$B:$B))</f>
        <v>217</v>
      </c>
      <c r="B156" s="4">
        <f>_xlfn.XLOOKUP(F156,'[1]SME09-01_LHM'!$I:$I,'[1]SME09-01_LHM'!$B:$B)</f>
        <v>217</v>
      </c>
      <c r="C156" s="102">
        <f>ROW()-25</f>
        <v>131</v>
      </c>
      <c r="D156" s="103" t="s">
        <v>1138</v>
      </c>
      <c r="E156" s="103" t="s">
        <v>1554</v>
      </c>
      <c r="F156" s="93" t="s">
        <v>2145</v>
      </c>
      <c r="G156" s="105" t="s">
        <v>1497</v>
      </c>
      <c r="H156" s="103" t="s">
        <v>8</v>
      </c>
      <c r="I156" s="103" t="s">
        <v>143</v>
      </c>
      <c r="J156" s="222" t="s">
        <v>18</v>
      </c>
      <c r="K156" s="224"/>
      <c r="L156" s="224"/>
      <c r="M156" s="193"/>
      <c r="N156" s="223" t="s">
        <v>27</v>
      </c>
      <c r="O156" s="136"/>
      <c r="P156" s="105" t="s">
        <v>126</v>
      </c>
      <c r="Q156" s="105" t="s">
        <v>1496</v>
      </c>
      <c r="R156" s="105" t="s">
        <v>25</v>
      </c>
      <c r="S156" s="104"/>
      <c r="T156" s="106"/>
      <c r="U156" s="106" t="s">
        <v>24</v>
      </c>
      <c r="V156" s="105" t="s">
        <v>24</v>
      </c>
      <c r="W156" s="107"/>
      <c r="X156" s="107"/>
      <c r="Y156" s="192" t="str">
        <f>_xlfn.LET(_xlpm.v,_xlfn.XLOOKUP(E156,'[1]SME09-01_LHM'!$D:$D,'[1]SME09-01_LHM'!$AL:$AL),IF(_xlpm.v=0,"",_xlpm.v))</f>
        <v/>
      </c>
      <c r="Z156" s="104" t="str">
        <f>_xlfn.LET(_xlpm.v,IF(ISTEXT(Y156),_xlfn.XLOOKUP(Y156,'JP-PINT'!A:A,'JP-PINT'!B:B),""),IF(ISERROR(_xlpm.v),"",_xlpm.v))</f>
        <v/>
      </c>
      <c r="AA156" s="223" t="s">
        <v>24</v>
      </c>
    </row>
    <row r="157" spans="1:27" s="134" customFormat="1" ht="12.75" customHeight="1">
      <c r="A157" s="4">
        <f>IF(ISTEXT(E157),_xlfn.XLOOKUP(E157,'[1]SME09-01_LHM'!$D:$D,'[1]SME09-01_LHM'!$B:$B))</f>
        <v>219</v>
      </c>
      <c r="B157" s="4">
        <f>_xlfn.XLOOKUP(F157,'[1]SME09-01_LHM'!$I:$I,'[1]SME09-01_LHM'!$B:$B)</f>
        <v>219</v>
      </c>
      <c r="C157" s="102">
        <f>ROW()-25</f>
        <v>132</v>
      </c>
      <c r="D157" s="103" t="s">
        <v>1138</v>
      </c>
      <c r="E157" s="103" t="s">
        <v>1553</v>
      </c>
      <c r="F157" s="105" t="s">
        <v>1552</v>
      </c>
      <c r="G157" s="105" t="s">
        <v>1551</v>
      </c>
      <c r="H157" s="103" t="s">
        <v>8</v>
      </c>
      <c r="I157" s="103" t="s">
        <v>143</v>
      </c>
      <c r="J157" s="222" t="s">
        <v>18</v>
      </c>
      <c r="K157" s="224"/>
      <c r="L157" s="224"/>
      <c r="M157" s="193"/>
      <c r="N157" s="223" t="s">
        <v>27</v>
      </c>
      <c r="O157" s="136"/>
      <c r="P157" s="105" t="s">
        <v>126</v>
      </c>
      <c r="Q157" s="105" t="s">
        <v>1492</v>
      </c>
      <c r="R157" s="105" t="s">
        <v>10</v>
      </c>
      <c r="S157" s="104"/>
      <c r="T157" s="106"/>
      <c r="U157" s="106" t="s">
        <v>24</v>
      </c>
      <c r="V157" s="105" t="s">
        <v>24</v>
      </c>
      <c r="W157" s="107"/>
      <c r="X157" s="107"/>
      <c r="Y157" s="192" t="str">
        <f>_xlfn.LET(_xlpm.v,_xlfn.XLOOKUP(E157,'[1]SME09-01_LHM'!$D:$D,'[1]SME09-01_LHM'!$AL:$AL),IF(_xlpm.v=0,"",_xlpm.v))</f>
        <v/>
      </c>
      <c r="Z157" s="104" t="str">
        <f>_xlfn.LET(_xlpm.v,IF(ISTEXT(Y157),_xlfn.XLOOKUP(Y157,'JP-PINT'!A:A,'JP-PINT'!B:B),""),IF(ISERROR(_xlpm.v),"",_xlpm.v))</f>
        <v/>
      </c>
      <c r="AA157" s="223" t="s">
        <v>24</v>
      </c>
    </row>
    <row r="158" spans="1:27" s="137" customFormat="1" ht="12.75" customHeight="1">
      <c r="A158" s="4">
        <f>IF(ISTEXT(E158),_xlfn.XLOOKUP(E158,'[1]SME09-01_LHM'!$D:$D,'[1]SME09-01_LHM'!$B:$B))</f>
        <v>220</v>
      </c>
      <c r="B158" s="4">
        <f>_xlfn.XLOOKUP(F158,'[1]SME09-01_LHM'!$I:$I,'[1]SME09-01_LHM'!$B:$B)</f>
        <v>220</v>
      </c>
      <c r="C158" s="102">
        <f>ROW()-25</f>
        <v>133</v>
      </c>
      <c r="D158" s="103" t="s">
        <v>1138</v>
      </c>
      <c r="E158" s="103" t="s">
        <v>1550</v>
      </c>
      <c r="F158" s="105" t="s">
        <v>1549</v>
      </c>
      <c r="G158" s="104" t="s">
        <v>1548</v>
      </c>
      <c r="H158" s="103" t="s">
        <v>8</v>
      </c>
      <c r="I158" s="106" t="s">
        <v>143</v>
      </c>
      <c r="J158" s="222" t="s">
        <v>18</v>
      </c>
      <c r="K158" s="224"/>
      <c r="L158" s="224"/>
      <c r="M158" s="193"/>
      <c r="N158" s="223" t="s">
        <v>27</v>
      </c>
      <c r="O158" s="136"/>
      <c r="P158" s="105" t="s">
        <v>126</v>
      </c>
      <c r="Q158" s="105" t="s">
        <v>1488</v>
      </c>
      <c r="R158" s="105" t="s">
        <v>10</v>
      </c>
      <c r="S158" s="104"/>
      <c r="T158" s="103"/>
      <c r="U158" s="103" t="s">
        <v>24</v>
      </c>
      <c r="V158" s="105" t="s">
        <v>24</v>
      </c>
      <c r="W158" s="107"/>
      <c r="X158" s="107"/>
      <c r="Y158" s="192" t="str">
        <f>_xlfn.LET(_xlpm.v,_xlfn.XLOOKUP(E158,'[1]SME09-01_LHM'!$D:$D,'[1]SME09-01_LHM'!$AL:$AL),IF(_xlpm.v=0,"",_xlpm.v))</f>
        <v/>
      </c>
      <c r="Z158" s="104" t="str">
        <f>_xlfn.LET(_xlpm.v,IF(ISTEXT(Y158),_xlfn.XLOOKUP(Y158,'JP-PINT'!A:A,'JP-PINT'!B:B),""),IF(ISERROR(_xlpm.v),"",_xlpm.v))</f>
        <v/>
      </c>
      <c r="AA158" s="223" t="s">
        <v>24</v>
      </c>
    </row>
    <row r="159" spans="1:27" s="134" customFormat="1" ht="12.75" customHeight="1">
      <c r="A159" s="4">
        <f>IF(ISTEXT(E159),_xlfn.XLOOKUP(E159,'[1]SME09-01_LHM'!$D:$D,'[1]SME09-01_LHM'!$B:$B))</f>
        <v>221</v>
      </c>
      <c r="B159" s="4">
        <f>_xlfn.XLOOKUP(F159,'[1]SME09-01_LHM'!$I:$I,'[1]SME09-01_LHM'!$B:$B)</f>
        <v>221</v>
      </c>
      <c r="C159" s="102">
        <f>ROW()-25</f>
        <v>134</v>
      </c>
      <c r="D159" s="103" t="s">
        <v>1138</v>
      </c>
      <c r="E159" s="103" t="s">
        <v>1547</v>
      </c>
      <c r="F159" s="105" t="s">
        <v>1546</v>
      </c>
      <c r="G159" s="105" t="s">
        <v>1545</v>
      </c>
      <c r="H159" s="103" t="s">
        <v>8</v>
      </c>
      <c r="I159" s="103" t="s">
        <v>143</v>
      </c>
      <c r="J159" s="222" t="s">
        <v>18</v>
      </c>
      <c r="K159" s="224"/>
      <c r="L159" s="224"/>
      <c r="M159" s="193"/>
      <c r="N159" s="223" t="s">
        <v>27</v>
      </c>
      <c r="O159" s="136"/>
      <c r="P159" s="105" t="s">
        <v>126</v>
      </c>
      <c r="Q159" s="105" t="s">
        <v>1484</v>
      </c>
      <c r="R159" s="105" t="s">
        <v>10</v>
      </c>
      <c r="S159" s="104"/>
      <c r="T159" s="106"/>
      <c r="U159" s="106" t="s">
        <v>24</v>
      </c>
      <c r="V159" s="105" t="s">
        <v>24</v>
      </c>
      <c r="W159" s="107"/>
      <c r="X159" s="107"/>
      <c r="Y159" s="192" t="str">
        <f>_xlfn.LET(_xlpm.v,_xlfn.XLOOKUP(E159,'[1]SME09-01_LHM'!$D:$D,'[1]SME09-01_LHM'!$AL:$AL),IF(_xlpm.v=0,"",_xlpm.v))</f>
        <v/>
      </c>
      <c r="Z159" s="104" t="str">
        <f>_xlfn.LET(_xlpm.v,IF(ISTEXT(Y159),_xlfn.XLOOKUP(Y159,'JP-PINT'!A:A,'JP-PINT'!B:B),""),IF(ISERROR(_xlpm.v),"",_xlpm.v))</f>
        <v/>
      </c>
      <c r="AA159" s="223" t="s">
        <v>24</v>
      </c>
    </row>
    <row r="160" spans="1:27" s="134" customFormat="1" ht="12.75" customHeight="1">
      <c r="A160" s="4">
        <f>IF(ISTEXT(E160),_xlfn.XLOOKUP(E160,'[1]SME09-01_LHM'!$D:$D,'[1]SME09-01_LHM'!$B:$B))</f>
        <v>222</v>
      </c>
      <c r="B160" s="4">
        <f>_xlfn.XLOOKUP(F160,'[1]SME09-01_LHM'!$I:$I,'[1]SME09-01_LHM'!$B:$B)</f>
        <v>222</v>
      </c>
      <c r="C160" s="102">
        <f>ROW()-25</f>
        <v>135</v>
      </c>
      <c r="D160" s="103" t="s">
        <v>1138</v>
      </c>
      <c r="E160" s="103" t="s">
        <v>1544</v>
      </c>
      <c r="F160" s="105" t="s">
        <v>1543</v>
      </c>
      <c r="G160" s="105" t="s">
        <v>1542</v>
      </c>
      <c r="H160" s="103" t="s">
        <v>8</v>
      </c>
      <c r="I160" s="103" t="s">
        <v>143</v>
      </c>
      <c r="J160" s="222" t="s">
        <v>18</v>
      </c>
      <c r="K160" s="224"/>
      <c r="L160" s="224"/>
      <c r="M160" s="193"/>
      <c r="N160" s="223" t="s">
        <v>27</v>
      </c>
      <c r="O160" s="136"/>
      <c r="P160" s="105" t="s">
        <v>126</v>
      </c>
      <c r="Q160" s="105" t="s">
        <v>1480</v>
      </c>
      <c r="R160" s="105" t="s">
        <v>10</v>
      </c>
      <c r="S160" s="104"/>
      <c r="T160" s="106"/>
      <c r="U160" s="106" t="s">
        <v>24</v>
      </c>
      <c r="V160" s="105" t="s">
        <v>24</v>
      </c>
      <c r="W160" s="107"/>
      <c r="X160" s="107"/>
      <c r="Y160" s="192" t="str">
        <f>_xlfn.LET(_xlpm.v,_xlfn.XLOOKUP(E160,'[1]SME09-01_LHM'!$D:$D,'[1]SME09-01_LHM'!$AL:$AL),IF(_xlpm.v=0,"",_xlpm.v))</f>
        <v/>
      </c>
      <c r="Z160" s="104" t="str">
        <f>_xlfn.LET(_xlpm.v,IF(ISTEXT(Y160),_xlfn.XLOOKUP(Y160,'JP-PINT'!A:A,'JP-PINT'!B:B),""),IF(ISERROR(_xlpm.v),"",_xlpm.v))</f>
        <v/>
      </c>
      <c r="AA160" s="223" t="s">
        <v>24</v>
      </c>
    </row>
    <row r="161" spans="1:27" s="134" customFormat="1" ht="12.75" customHeight="1">
      <c r="A161" s="4">
        <f>IF(ISTEXT(E161),_xlfn.XLOOKUP(E161,'[1]SME09-01_LHM'!$D:$D,'[1]SME09-01_LHM'!$B:$B))</f>
        <v>225</v>
      </c>
      <c r="B161" s="4">
        <f>_xlfn.XLOOKUP(F161,'[1]SME09-01_LHM'!$I:$I,'[1]SME09-01_LHM'!$B:$B)</f>
        <v>225</v>
      </c>
      <c r="C161" s="102">
        <f>ROW()-25</f>
        <v>136</v>
      </c>
      <c r="D161" s="103" t="s">
        <v>1138</v>
      </c>
      <c r="E161" s="103" t="s">
        <v>1541</v>
      </c>
      <c r="F161" s="105" t="s">
        <v>1540</v>
      </c>
      <c r="G161" s="105" t="s">
        <v>1539</v>
      </c>
      <c r="H161" s="103" t="s">
        <v>8</v>
      </c>
      <c r="I161" s="103" t="s">
        <v>143</v>
      </c>
      <c r="J161" s="222" t="s">
        <v>18</v>
      </c>
      <c r="K161" s="224"/>
      <c r="L161" s="224"/>
      <c r="M161" s="193"/>
      <c r="N161" s="223" t="s">
        <v>27</v>
      </c>
      <c r="O161" s="136"/>
      <c r="P161" s="105" t="s">
        <v>126</v>
      </c>
      <c r="Q161" s="104" t="s">
        <v>1473</v>
      </c>
      <c r="R161" s="105" t="s">
        <v>10</v>
      </c>
      <c r="S161" s="104"/>
      <c r="T161" s="106"/>
      <c r="U161" s="106" t="s">
        <v>24</v>
      </c>
      <c r="V161" s="105" t="s">
        <v>24</v>
      </c>
      <c r="W161" s="107"/>
      <c r="X161" s="107"/>
      <c r="Y161" s="192" t="str">
        <f>_xlfn.LET(_xlpm.v,_xlfn.XLOOKUP(E161,'[1]SME09-01_LHM'!$D:$D,'[1]SME09-01_LHM'!$AL:$AL),IF(_xlpm.v=0,"",_xlpm.v))</f>
        <v/>
      </c>
      <c r="Z161" s="104" t="str">
        <f>_xlfn.LET(_xlpm.v,IF(ISTEXT(Y161),_xlfn.XLOOKUP(Y161,'JP-PINT'!A:A,'JP-PINT'!B:B),""),IF(ISERROR(_xlpm.v),"",_xlpm.v))</f>
        <v/>
      </c>
      <c r="AA161" s="223" t="s">
        <v>24</v>
      </c>
    </row>
    <row r="162" spans="1:27" s="137" customFormat="1" ht="12.75" customHeight="1">
      <c r="A162" s="4">
        <f>IF(ISTEXT(E162),_xlfn.XLOOKUP(E162,'[1]SME09-01_LHM'!$D:$D,'[1]SME09-01_LHM'!$B:$B))</f>
        <v>228</v>
      </c>
      <c r="B162" s="4">
        <f>_xlfn.XLOOKUP(F162,'[1]SME09-01_LHM'!$I:$I,'[1]SME09-01_LHM'!$B:$B)</f>
        <v>228</v>
      </c>
      <c r="C162" s="102">
        <f>ROW()-25</f>
        <v>137</v>
      </c>
      <c r="D162" s="138" t="s">
        <v>1138</v>
      </c>
      <c r="E162" s="103" t="s">
        <v>1538</v>
      </c>
      <c r="F162" s="102" t="s">
        <v>1537</v>
      </c>
      <c r="G162" s="102" t="s">
        <v>1536</v>
      </c>
      <c r="H162" s="103" t="s">
        <v>8</v>
      </c>
      <c r="I162" s="103" t="s">
        <v>143</v>
      </c>
      <c r="J162" s="106" t="s">
        <v>18</v>
      </c>
      <c r="K162" s="224"/>
      <c r="L162" s="224"/>
      <c r="M162" s="146"/>
      <c r="N162" s="223" t="s">
        <v>27</v>
      </c>
      <c r="O162" s="136"/>
      <c r="P162" s="102" t="s">
        <v>126</v>
      </c>
      <c r="Q162" s="104" t="s">
        <v>1473</v>
      </c>
      <c r="R162" s="105" t="s">
        <v>10</v>
      </c>
      <c r="S162" s="104"/>
      <c r="T162" s="103"/>
      <c r="U162" s="103" t="s">
        <v>24</v>
      </c>
      <c r="V162" s="105" t="s">
        <v>24</v>
      </c>
      <c r="W162" s="107"/>
      <c r="X162" s="107"/>
      <c r="Y162" s="192" t="str">
        <f>_xlfn.LET(_xlpm.v,_xlfn.XLOOKUP(E162,'[1]SME09-01_LHM'!$D:$D,'[1]SME09-01_LHM'!$AL:$AL),IF(_xlpm.v=0,"",_xlpm.v))</f>
        <v/>
      </c>
      <c r="Z162" s="104" t="str">
        <f>_xlfn.LET(_xlpm.v,IF(ISTEXT(Y162),_xlfn.XLOOKUP(Y162,'JP-PINT'!A:A,'JP-PINT'!B:B),""),IF(ISERROR(_xlpm.v),"",_xlpm.v))</f>
        <v/>
      </c>
      <c r="AA162" s="223" t="s">
        <v>24</v>
      </c>
    </row>
    <row r="163" spans="1:27" s="137" customFormat="1" ht="12.75" customHeight="1">
      <c r="A163" s="4">
        <f>IF(ISTEXT(E163),_xlfn.XLOOKUP(E163,'[1]SME09-01_LHM'!$D:$D,'[1]SME09-01_LHM'!$B:$B))</f>
        <v>231</v>
      </c>
      <c r="B163" s="4">
        <f>_xlfn.XLOOKUP(F163,'[1]SME09-01_LHM'!$I:$I,'[1]SME09-01_LHM'!$B:$B)</f>
        <v>231</v>
      </c>
      <c r="C163" s="102">
        <f>ROW()-25</f>
        <v>138</v>
      </c>
      <c r="D163" s="103" t="s">
        <v>1138</v>
      </c>
      <c r="E163" s="103" t="s">
        <v>1535</v>
      </c>
      <c r="F163" s="105" t="s">
        <v>1534</v>
      </c>
      <c r="G163" s="105" t="s">
        <v>1533</v>
      </c>
      <c r="H163" s="103" t="s">
        <v>8</v>
      </c>
      <c r="I163" s="103" t="s">
        <v>143</v>
      </c>
      <c r="J163" s="222" t="s">
        <v>18</v>
      </c>
      <c r="K163" s="224"/>
      <c r="L163" s="224"/>
      <c r="M163" s="193"/>
      <c r="N163" s="223" t="s">
        <v>27</v>
      </c>
      <c r="O163" s="136"/>
      <c r="P163" s="105" t="s">
        <v>126</v>
      </c>
      <c r="Q163" s="105" t="s">
        <v>1446</v>
      </c>
      <c r="R163" s="105" t="s">
        <v>10</v>
      </c>
      <c r="S163" s="104"/>
      <c r="T163" s="103"/>
      <c r="U163" s="103" t="s">
        <v>24</v>
      </c>
      <c r="V163" s="105" t="s">
        <v>24</v>
      </c>
      <c r="W163" s="107"/>
      <c r="X163" s="107"/>
      <c r="Y163" s="192" t="str">
        <f>_xlfn.LET(_xlpm.v,_xlfn.XLOOKUP(E163,'[1]SME09-01_LHM'!$D:$D,'[1]SME09-01_LHM'!$AL:$AL),IF(_xlpm.v=0,"",_xlpm.v))</f>
        <v/>
      </c>
      <c r="Z163" s="104" t="str">
        <f>_xlfn.LET(_xlpm.v,IF(ISTEXT(Y163),_xlfn.XLOOKUP(Y163,'JP-PINT'!A:A,'JP-PINT'!B:B),""),IF(ISERROR(_xlpm.v),"",_xlpm.v))</f>
        <v/>
      </c>
      <c r="AA163" s="223" t="s">
        <v>24</v>
      </c>
    </row>
    <row r="164" spans="1:27" s="137" customFormat="1" ht="12.75" customHeight="1">
      <c r="A164" s="4">
        <f>IF(ISTEXT(E164),_xlfn.XLOOKUP(E164,'[1]SME09-01_LHM'!$D:$D,'[1]SME09-01_LHM'!$B:$B))</f>
        <v>232</v>
      </c>
      <c r="B164" s="4">
        <f>_xlfn.XLOOKUP(F164,'[1]SME09-01_LHM'!$I:$I,'[1]SME09-01_LHM'!$B:$B)</f>
        <v>232</v>
      </c>
      <c r="C164" s="102">
        <f>ROW()-25</f>
        <v>139</v>
      </c>
      <c r="D164" s="103" t="s">
        <v>1138</v>
      </c>
      <c r="E164" s="103" t="s">
        <v>1532</v>
      </c>
      <c r="F164" s="93" t="s">
        <v>2146</v>
      </c>
      <c r="G164" s="105" t="s">
        <v>1531</v>
      </c>
      <c r="H164" s="103" t="s">
        <v>8</v>
      </c>
      <c r="I164" s="103" t="s">
        <v>143</v>
      </c>
      <c r="J164" s="222" t="s">
        <v>18</v>
      </c>
      <c r="K164" s="224"/>
      <c r="L164" s="224"/>
      <c r="M164" s="193"/>
      <c r="N164" s="223" t="s">
        <v>27</v>
      </c>
      <c r="O164" s="136"/>
      <c r="P164" s="105" t="s">
        <v>126</v>
      </c>
      <c r="Q164" s="105" t="s">
        <v>1012</v>
      </c>
      <c r="R164" s="105" t="s">
        <v>25</v>
      </c>
      <c r="S164" s="104"/>
      <c r="T164" s="103"/>
      <c r="U164" s="103" t="s">
        <v>24</v>
      </c>
      <c r="V164" s="105" t="s">
        <v>24</v>
      </c>
      <c r="W164" s="107"/>
      <c r="X164" s="107"/>
      <c r="Y164" s="192" t="str">
        <f>_xlfn.LET(_xlpm.v,_xlfn.XLOOKUP(E164,'[1]SME09-01_LHM'!$D:$D,'[1]SME09-01_LHM'!$AL:$AL),IF(_xlpm.v=0,"",_xlpm.v))</f>
        <v/>
      </c>
      <c r="Z164" s="104" t="str">
        <f>_xlfn.LET(_xlpm.v,IF(ISTEXT(Y164),_xlfn.XLOOKUP(Y164,'JP-PINT'!A:A,'JP-PINT'!B:B),""),IF(ISERROR(_xlpm.v),"",_xlpm.v))</f>
        <v/>
      </c>
      <c r="AA164" s="223" t="s">
        <v>24</v>
      </c>
    </row>
    <row r="165" spans="1:27" s="137" customFormat="1" ht="12.75" customHeight="1">
      <c r="A165" s="4">
        <f>IF(ISTEXT(E165),_xlfn.XLOOKUP(E165,'[1]SME09-01_LHM'!$D:$D,'[1]SME09-01_LHM'!$B:$B))</f>
        <v>234</v>
      </c>
      <c r="B165" s="4">
        <f>_xlfn.XLOOKUP(F165,'[1]SME09-01_LHM'!$I:$I,'[1]SME09-01_LHM'!$B:$B)</f>
        <v>234</v>
      </c>
      <c r="C165" s="102">
        <f>ROW()-25</f>
        <v>140</v>
      </c>
      <c r="D165" s="103" t="s">
        <v>1138</v>
      </c>
      <c r="E165" s="103" t="s">
        <v>1530</v>
      </c>
      <c r="F165" s="105" t="s">
        <v>1529</v>
      </c>
      <c r="G165" s="105" t="s">
        <v>1528</v>
      </c>
      <c r="H165" s="103" t="s">
        <v>8</v>
      </c>
      <c r="I165" s="103" t="s">
        <v>143</v>
      </c>
      <c r="J165" s="222" t="s">
        <v>18</v>
      </c>
      <c r="K165" s="224"/>
      <c r="L165" s="224"/>
      <c r="M165" s="193"/>
      <c r="N165" s="223" t="s">
        <v>27</v>
      </c>
      <c r="O165" s="136"/>
      <c r="P165" s="105" t="s">
        <v>126</v>
      </c>
      <c r="Q165" s="105" t="s">
        <v>1007</v>
      </c>
      <c r="R165" s="105" t="s">
        <v>10</v>
      </c>
      <c r="S165" s="104"/>
      <c r="T165" s="103"/>
      <c r="U165" s="103" t="s">
        <v>24</v>
      </c>
      <c r="V165" s="105" t="s">
        <v>24</v>
      </c>
      <c r="W165" s="107"/>
      <c r="X165" s="107"/>
      <c r="Y165" s="192" t="str">
        <f>_xlfn.LET(_xlpm.v,_xlfn.XLOOKUP(E165,'[1]SME09-01_LHM'!$D:$D,'[1]SME09-01_LHM'!$AL:$AL),IF(_xlpm.v=0,"",_xlpm.v))</f>
        <v/>
      </c>
      <c r="Z165" s="104" t="str">
        <f>_xlfn.LET(_xlpm.v,IF(ISTEXT(Y165),_xlfn.XLOOKUP(Y165,'JP-PINT'!A:A,'JP-PINT'!B:B),""),IF(ISERROR(_xlpm.v),"",_xlpm.v))</f>
        <v/>
      </c>
      <c r="AA165" s="223" t="s">
        <v>24</v>
      </c>
    </row>
    <row r="166" spans="1:27" s="137" customFormat="1" ht="12.75" customHeight="1">
      <c r="A166" s="4">
        <f>IF(ISTEXT(E166),_xlfn.XLOOKUP(E166,'[1]SME09-01_LHM'!$D:$D,'[1]SME09-01_LHM'!$B:$B))</f>
        <v>235</v>
      </c>
      <c r="B166" s="4">
        <f>_xlfn.XLOOKUP(F166,'[1]SME09-01_LHM'!$I:$I,'[1]SME09-01_LHM'!$B:$B)</f>
        <v>235</v>
      </c>
      <c r="C166" s="102">
        <f>ROW()-25</f>
        <v>141</v>
      </c>
      <c r="D166" s="103" t="s">
        <v>1138</v>
      </c>
      <c r="E166" s="103" t="s">
        <v>1527</v>
      </c>
      <c r="F166" s="105" t="s">
        <v>1526</v>
      </c>
      <c r="G166" s="105" t="s">
        <v>1525</v>
      </c>
      <c r="H166" s="103" t="s">
        <v>8</v>
      </c>
      <c r="I166" s="103" t="s">
        <v>143</v>
      </c>
      <c r="J166" s="222" t="s">
        <v>18</v>
      </c>
      <c r="K166" s="224"/>
      <c r="L166" s="224"/>
      <c r="M166" s="193"/>
      <c r="N166" s="223" t="s">
        <v>27</v>
      </c>
      <c r="O166" s="136"/>
      <c r="P166" s="105" t="s">
        <v>126</v>
      </c>
      <c r="Q166" s="105" t="s">
        <v>1002</v>
      </c>
      <c r="R166" s="105" t="s">
        <v>10</v>
      </c>
      <c r="S166" s="104"/>
      <c r="T166" s="106"/>
      <c r="U166" s="106" t="s">
        <v>24</v>
      </c>
      <c r="V166" s="105" t="s">
        <v>24</v>
      </c>
      <c r="W166" s="107"/>
      <c r="X166" s="107"/>
      <c r="Y166" s="192" t="str">
        <f>_xlfn.LET(_xlpm.v,_xlfn.XLOOKUP(E166,'[1]SME09-01_LHM'!$D:$D,'[1]SME09-01_LHM'!$AL:$AL),IF(_xlpm.v=0,"",_xlpm.v))</f>
        <v/>
      </c>
      <c r="Z166" s="104" t="str">
        <f>_xlfn.LET(_xlpm.v,IF(ISTEXT(Y166),_xlfn.XLOOKUP(Y166,'JP-PINT'!A:A,'JP-PINT'!B:B),""),IF(ISERROR(_xlpm.v),"",_xlpm.v))</f>
        <v/>
      </c>
      <c r="AA166" s="223" t="s">
        <v>24</v>
      </c>
    </row>
    <row r="167" spans="1:27" s="137" customFormat="1" ht="12.75" customHeight="1">
      <c r="A167" s="4">
        <f>IF(ISTEXT(E167),_xlfn.XLOOKUP(E167,'[1]SME09-01_LHM'!$D:$D,'[1]SME09-01_LHM'!$B:$B))</f>
        <v>236</v>
      </c>
      <c r="B167" s="4">
        <f>_xlfn.XLOOKUP(F167,'[1]SME09-01_LHM'!$I:$I,'[1]SME09-01_LHM'!$B:$B)</f>
        <v>236</v>
      </c>
      <c r="C167" s="102">
        <f>ROW()-25</f>
        <v>142</v>
      </c>
      <c r="D167" s="103" t="s">
        <v>1138</v>
      </c>
      <c r="E167" s="103" t="s">
        <v>1524</v>
      </c>
      <c r="F167" s="105" t="s">
        <v>1523</v>
      </c>
      <c r="G167" s="105" t="s">
        <v>1522</v>
      </c>
      <c r="H167" s="103" t="s">
        <v>8</v>
      </c>
      <c r="I167" s="103" t="s">
        <v>143</v>
      </c>
      <c r="J167" s="222" t="s">
        <v>18</v>
      </c>
      <c r="K167" s="224"/>
      <c r="L167" s="224"/>
      <c r="M167" s="193"/>
      <c r="N167" s="223" t="s">
        <v>27</v>
      </c>
      <c r="O167" s="136"/>
      <c r="P167" s="105" t="s">
        <v>126</v>
      </c>
      <c r="Q167" s="105" t="s">
        <v>997</v>
      </c>
      <c r="R167" s="105" t="s">
        <v>10</v>
      </c>
      <c r="S167" s="104"/>
      <c r="T167" s="106"/>
      <c r="U167" s="106" t="s">
        <v>24</v>
      </c>
      <c r="V167" s="105" t="s">
        <v>24</v>
      </c>
      <c r="W167" s="107"/>
      <c r="X167" s="107"/>
      <c r="Y167" s="192" t="str">
        <f>_xlfn.LET(_xlpm.v,_xlfn.XLOOKUP(E167,'[1]SME09-01_LHM'!$D:$D,'[1]SME09-01_LHM'!$AL:$AL),IF(_xlpm.v=0,"",_xlpm.v))</f>
        <v/>
      </c>
      <c r="Z167" s="104" t="str">
        <f>_xlfn.LET(_xlpm.v,IF(ISTEXT(Y167),_xlfn.XLOOKUP(Y167,'JP-PINT'!A:A,'JP-PINT'!B:B),""),IF(ISERROR(_xlpm.v),"",_xlpm.v))</f>
        <v/>
      </c>
      <c r="AA167" s="223" t="s">
        <v>24</v>
      </c>
    </row>
    <row r="168" spans="1:27" s="134" customFormat="1" ht="12.75" customHeight="1">
      <c r="A168" s="4">
        <f>IF(ISTEXT(E168),_xlfn.XLOOKUP(E168,'[1]SME09-01_LHM'!$D:$D,'[1]SME09-01_LHM'!$B:$B))</f>
        <v>237</v>
      </c>
      <c r="B168" s="4">
        <f>_xlfn.XLOOKUP(F168,'[1]SME09-01_LHM'!$I:$I,'[1]SME09-01_LHM'!$B:$B)</f>
        <v>237</v>
      </c>
      <c r="C168" s="102">
        <f>ROW()-25</f>
        <v>143</v>
      </c>
      <c r="D168" s="103" t="s">
        <v>1138</v>
      </c>
      <c r="E168" s="103" t="s">
        <v>1521</v>
      </c>
      <c r="F168" s="105" t="s">
        <v>1520</v>
      </c>
      <c r="G168" s="105" t="s">
        <v>1519</v>
      </c>
      <c r="H168" s="103" t="s">
        <v>8</v>
      </c>
      <c r="I168" s="103" t="s">
        <v>143</v>
      </c>
      <c r="J168" s="222" t="s">
        <v>18</v>
      </c>
      <c r="K168" s="224"/>
      <c r="L168" s="224"/>
      <c r="M168" s="193"/>
      <c r="N168" s="223" t="s">
        <v>27</v>
      </c>
      <c r="O168" s="136"/>
      <c r="P168" s="105" t="s">
        <v>126</v>
      </c>
      <c r="Q168" s="105" t="s">
        <v>992</v>
      </c>
      <c r="R168" s="105" t="s">
        <v>10</v>
      </c>
      <c r="S168" s="104"/>
      <c r="T168" s="106"/>
      <c r="U168" s="106" t="s">
        <v>24</v>
      </c>
      <c r="V168" s="105" t="s">
        <v>24</v>
      </c>
      <c r="W168" s="107"/>
      <c r="X168" s="107"/>
      <c r="Y168" s="192" t="str">
        <f>_xlfn.LET(_xlpm.v,_xlfn.XLOOKUP(E168,'[1]SME09-01_LHM'!$D:$D,'[1]SME09-01_LHM'!$AL:$AL),IF(_xlpm.v=0,"",_xlpm.v))</f>
        <v/>
      </c>
      <c r="Z168" s="104" t="str">
        <f>_xlfn.LET(_xlpm.v,IF(ISTEXT(Y168),_xlfn.XLOOKUP(Y168,'JP-PINT'!A:A,'JP-PINT'!B:B),""),IF(ISERROR(_xlpm.v),"",_xlpm.v))</f>
        <v/>
      </c>
      <c r="AA168" s="223" t="s">
        <v>24</v>
      </c>
    </row>
    <row r="169" spans="1:27" s="137" customFormat="1" ht="12.75" customHeight="1">
      <c r="A169" s="4">
        <f>IF(ISTEXT(E169),_xlfn.XLOOKUP(E169,'[1]SME09-01_LHM'!$D:$D,'[1]SME09-01_LHM'!$B:$B))</f>
        <v>238</v>
      </c>
      <c r="B169" s="4">
        <f>_xlfn.XLOOKUP(F169,'[1]SME09-01_LHM'!$I:$I,'[1]SME09-01_LHM'!$B:$B)</f>
        <v>238</v>
      </c>
      <c r="C169" s="102">
        <f>ROW()-25</f>
        <v>144</v>
      </c>
      <c r="D169" s="103" t="s">
        <v>1138</v>
      </c>
      <c r="E169" s="103" t="s">
        <v>1518</v>
      </c>
      <c r="F169" s="105" t="s">
        <v>1517</v>
      </c>
      <c r="G169" s="105" t="s">
        <v>1516</v>
      </c>
      <c r="H169" s="103" t="s">
        <v>31</v>
      </c>
      <c r="I169" s="103" t="s">
        <v>143</v>
      </c>
      <c r="J169" s="222" t="s">
        <v>18</v>
      </c>
      <c r="K169" s="224"/>
      <c r="L169" s="224"/>
      <c r="M169" s="193"/>
      <c r="N169" s="223" t="s">
        <v>27</v>
      </c>
      <c r="O169" s="136"/>
      <c r="P169" s="105" t="s">
        <v>126</v>
      </c>
      <c r="Q169" s="105" t="s">
        <v>987</v>
      </c>
      <c r="R169" s="105" t="s">
        <v>10</v>
      </c>
      <c r="S169" s="104" t="s">
        <v>14</v>
      </c>
      <c r="T169" s="106" t="s">
        <v>13</v>
      </c>
      <c r="U169" s="106" t="s">
        <v>24</v>
      </c>
      <c r="V169" s="105" t="s">
        <v>24</v>
      </c>
      <c r="W169" s="107"/>
      <c r="X169" s="107"/>
      <c r="Y169" s="192" t="str">
        <f>_xlfn.LET(_xlpm.v,_xlfn.XLOOKUP(E169,'[1]SME09-01_LHM'!$D:$D,'[1]SME09-01_LHM'!$AL:$AL),IF(_xlpm.v=0,"",_xlpm.v))</f>
        <v/>
      </c>
      <c r="Z169" s="104" t="str">
        <f>_xlfn.LET(_xlpm.v,IF(ISTEXT(Y169),_xlfn.XLOOKUP(Y169,'JP-PINT'!A:A,'JP-PINT'!B:B),""),IF(ISERROR(_xlpm.v),"",_xlpm.v))</f>
        <v/>
      </c>
      <c r="AA169" s="223" t="s">
        <v>24</v>
      </c>
    </row>
    <row r="170" spans="1:27" s="6" customFormat="1" ht="12.75" customHeight="1">
      <c r="A170" s="4">
        <f>IF(ISTEXT(E170),_xlfn.XLOOKUP(E170,'[1]SME09-01_LHM'!$D:$D,'[1]SME09-01_LHM'!$B:$B))</f>
        <v>208</v>
      </c>
      <c r="B170" s="4">
        <f>_xlfn.XLOOKUP(F170,'[1]SME09-01_LHM'!$I:$I,'[1]SME09-01_LHM'!$B:$B)</f>
        <v>239</v>
      </c>
      <c r="C170" s="22">
        <f>ROW()-25</f>
        <v>145</v>
      </c>
      <c r="D170" s="26" t="s">
        <v>1138</v>
      </c>
      <c r="E170" s="208" t="s">
        <v>1452</v>
      </c>
      <c r="F170" s="93" t="s">
        <v>2151</v>
      </c>
      <c r="G170" s="25" t="s">
        <v>1515</v>
      </c>
      <c r="H170" s="26" t="s">
        <v>8</v>
      </c>
      <c r="I170" s="26" t="s">
        <v>19</v>
      </c>
      <c r="J170" s="201" t="s">
        <v>18</v>
      </c>
      <c r="K170" s="245"/>
      <c r="L170" s="245"/>
      <c r="M170" s="189"/>
      <c r="N170" s="243" t="s">
        <v>27</v>
      </c>
      <c r="O170" s="7"/>
      <c r="P170" s="105" t="s">
        <v>126</v>
      </c>
      <c r="Q170" s="105" t="s">
        <v>1450</v>
      </c>
      <c r="R170" s="105" t="s">
        <v>25</v>
      </c>
      <c r="S170" s="104"/>
      <c r="T170" s="106" t="s">
        <v>133</v>
      </c>
      <c r="U170" s="106" t="s">
        <v>24</v>
      </c>
      <c r="V170" s="105" t="s">
        <v>24</v>
      </c>
      <c r="W170" s="3" t="s">
        <v>25</v>
      </c>
      <c r="X170" s="3" t="s">
        <v>25</v>
      </c>
      <c r="Y170" s="182" t="str">
        <f>_xlfn.LET(_xlpm.v,_xlfn.XLOOKUP(E170,'[1]SME09-01_LHM'!$D:$D,'[1]SME09-01_LHM'!$AL:$AL),IF(_xlpm.v=0,"",_xlpm.v))</f>
        <v/>
      </c>
      <c r="Z170" s="104" t="str">
        <f>_xlfn.LET(_xlpm.v,IF(ISTEXT(Y170),_xlfn.XLOOKUP(Y170,'JP-PINT'!A:A,'JP-PINT'!B:B),""),IF(ISERROR(_xlpm.v),"",_xlpm.v))</f>
        <v/>
      </c>
      <c r="AA170" s="243" t="s">
        <v>24</v>
      </c>
    </row>
    <row r="171" spans="1:27" s="6" customFormat="1" ht="12.75" customHeight="1">
      <c r="A171" s="4">
        <f>IF(ISTEXT(E171),_xlfn.XLOOKUP(E171,'[1]SME09-01_LHM'!$D:$D,'[1]SME09-01_LHM'!$B:$B))</f>
        <v>241</v>
      </c>
      <c r="B171" s="4">
        <f>_xlfn.XLOOKUP(F171,'[1]SME09-01_LHM'!$I:$I,'[1]SME09-01_LHM'!$B:$B)</f>
        <v>241</v>
      </c>
      <c r="C171" s="22">
        <f>ROW()-25</f>
        <v>146</v>
      </c>
      <c r="D171" s="35" t="s">
        <v>1138</v>
      </c>
      <c r="E171" s="35" t="s">
        <v>1514</v>
      </c>
      <c r="F171" s="37" t="s">
        <v>1513</v>
      </c>
      <c r="G171" s="37" t="s">
        <v>1512</v>
      </c>
      <c r="H171" s="16" t="s">
        <v>8</v>
      </c>
      <c r="I171" s="39" t="s">
        <v>127</v>
      </c>
      <c r="J171" s="197" t="s">
        <v>66</v>
      </c>
      <c r="K171" s="242"/>
      <c r="L171" s="242"/>
      <c r="M171" s="186"/>
      <c r="N171" s="181"/>
      <c r="O171" s="246"/>
      <c r="P171" s="105" t="s">
        <v>126</v>
      </c>
      <c r="Q171" s="105" t="s">
        <v>1446</v>
      </c>
      <c r="R171" s="105" t="s">
        <v>10</v>
      </c>
      <c r="S171" s="104" t="s">
        <v>1021</v>
      </c>
      <c r="T171" s="106" t="s">
        <v>13</v>
      </c>
      <c r="U171" s="106" t="s">
        <v>1445</v>
      </c>
      <c r="V171" s="150" t="s">
        <v>1444</v>
      </c>
      <c r="W171" s="247" t="s">
        <v>10</v>
      </c>
      <c r="X171" s="247" t="s">
        <v>10</v>
      </c>
      <c r="Y171" s="182" t="str">
        <f>_xlfn.LET(_xlpm.v,_xlfn.XLOOKUP(E171,'[1]SME09-01_LHM'!$D:$D,'[1]SME09-01_LHM'!$AL:$AL),IF(_xlpm.v=0,"",_xlpm.v))</f>
        <v/>
      </c>
      <c r="Z171" s="104" t="str">
        <f>_xlfn.LET(_xlpm.v,IF(ISTEXT(Y171),_xlfn.XLOOKUP(Y171,'JP-PINT'!A:A,'JP-PINT'!B:B),""),IF(ISERROR(_xlpm.v),"",_xlpm.v))</f>
        <v/>
      </c>
      <c r="AA171" s="248"/>
    </row>
    <row r="172" spans="1:27" s="249" customFormat="1" ht="12.75" customHeight="1">
      <c r="A172" s="4">
        <f>IF(ISTEXT(E172),_xlfn.XLOOKUP(E172,'[1]SME09-01_LHM'!$D:$D,'[1]SME09-01_LHM'!$B:$B))</f>
        <v>242</v>
      </c>
      <c r="B172" s="4">
        <f>_xlfn.XLOOKUP(F172,'[1]SME09-01_LHM'!$I:$I,'[1]SME09-01_LHM'!$B:$B)</f>
        <v>242</v>
      </c>
      <c r="C172" s="22">
        <f>ROW()-25</f>
        <v>147</v>
      </c>
      <c r="D172" s="35" t="s">
        <v>1138</v>
      </c>
      <c r="E172" s="35" t="s">
        <v>1511</v>
      </c>
      <c r="F172" s="93" t="s">
        <v>2142</v>
      </c>
      <c r="G172" s="37" t="s">
        <v>1442</v>
      </c>
      <c r="H172" s="16"/>
      <c r="I172" s="39" t="s">
        <v>127</v>
      </c>
      <c r="J172" s="197" t="s">
        <v>66</v>
      </c>
      <c r="K172" s="242"/>
      <c r="L172" s="242"/>
      <c r="M172" s="186"/>
      <c r="N172" s="181"/>
      <c r="O172" s="246"/>
      <c r="P172" s="105" t="s">
        <v>126</v>
      </c>
      <c r="Q172" s="105"/>
      <c r="R172" s="105" t="s">
        <v>430</v>
      </c>
      <c r="S172" s="104"/>
      <c r="T172" s="106" t="s">
        <v>103</v>
      </c>
      <c r="U172" s="106" t="s">
        <v>24</v>
      </c>
      <c r="V172" s="104"/>
      <c r="W172" s="247" t="s">
        <v>429</v>
      </c>
      <c r="X172" s="247" t="s">
        <v>429</v>
      </c>
      <c r="Y172" s="182" t="str">
        <f>_xlfn.LET(_xlpm.v,_xlfn.XLOOKUP(E172,'[1]SME09-01_LHM'!$D:$D,'[1]SME09-01_LHM'!$AL:$AL),IF(_xlpm.v=0,"",_xlpm.v))</f>
        <v/>
      </c>
      <c r="Z172" s="104" t="str">
        <f>_xlfn.LET(_xlpm.v,IF(ISTEXT(Y172),_xlfn.XLOOKUP(Y172,'JP-PINT'!A:A,'JP-PINT'!B:B),""),IF(ISERROR(_xlpm.v),"",_xlpm.v))</f>
        <v/>
      </c>
      <c r="AA172" s="248"/>
    </row>
    <row r="173" spans="1:27" s="249" customFormat="1" ht="12.75" customHeight="1">
      <c r="A173" s="4">
        <f>IF(ISTEXT(E173),_xlfn.XLOOKUP(E173,'[1]SME09-01_LHM'!$D:$D,'[1]SME09-01_LHM'!$B:$B))</f>
        <v>243</v>
      </c>
      <c r="B173" s="4">
        <f>_xlfn.XLOOKUP(F173,'[1]SME09-01_LHM'!$I:$I,'[1]SME09-01_LHM'!$B:$B)</f>
        <v>243</v>
      </c>
      <c r="C173" s="22">
        <f>ROW()-25</f>
        <v>148</v>
      </c>
      <c r="D173" s="26" t="s">
        <v>1138</v>
      </c>
      <c r="E173" s="208" t="s">
        <v>1510</v>
      </c>
      <c r="F173" s="93" t="s">
        <v>2147</v>
      </c>
      <c r="G173" s="25" t="s">
        <v>1509</v>
      </c>
      <c r="H173" s="26" t="s">
        <v>8</v>
      </c>
      <c r="I173" s="26" t="s">
        <v>143</v>
      </c>
      <c r="J173" s="201" t="s">
        <v>18</v>
      </c>
      <c r="K173" s="245"/>
      <c r="L173" s="245"/>
      <c r="M173" s="189"/>
      <c r="N173" s="181" t="s">
        <v>27</v>
      </c>
      <c r="O173" s="7"/>
      <c r="P173" s="105" t="s">
        <v>126</v>
      </c>
      <c r="Q173" s="105" t="s">
        <v>1508</v>
      </c>
      <c r="R173" s="105" t="s">
        <v>25</v>
      </c>
      <c r="S173" s="104"/>
      <c r="T173" s="106" t="s">
        <v>1438</v>
      </c>
      <c r="U173" s="106" t="s">
        <v>24</v>
      </c>
      <c r="V173" s="105" t="s">
        <v>24</v>
      </c>
      <c r="W173" s="3"/>
      <c r="X173" s="3"/>
      <c r="Y173" s="182" t="str">
        <f>_xlfn.LET(_xlpm.v,_xlfn.XLOOKUP(E173,'[1]SME09-01_LHM'!$D:$D,'[1]SME09-01_LHM'!$AL:$AL),IF(_xlpm.v=0,"",_xlpm.v))</f>
        <v/>
      </c>
      <c r="Z173" s="104" t="str">
        <f>_xlfn.LET(_xlpm.v,IF(ISTEXT(Y173),_xlfn.XLOOKUP(Y173,'JP-PINT'!A:A,'JP-PINT'!B:B),""),IF(ISERROR(_xlpm.v),"",_xlpm.v))</f>
        <v/>
      </c>
      <c r="AA173" s="181" t="s">
        <v>24</v>
      </c>
    </row>
    <row r="174" spans="1:27" s="134" customFormat="1" ht="12.75" customHeight="1">
      <c r="A174" s="4">
        <f>IF(ISTEXT(E174),_xlfn.XLOOKUP(E174,'[1]SME09-01_LHM'!$D:$D,'[1]SME09-01_LHM'!$B:$B))</f>
        <v>245</v>
      </c>
      <c r="B174" s="4">
        <f>_xlfn.XLOOKUP(F174,'[1]SME09-01_LHM'!$I:$I,'[1]SME09-01_LHM'!$B:$B)</f>
        <v>245</v>
      </c>
      <c r="C174" s="102">
        <f>ROW()-25</f>
        <v>149</v>
      </c>
      <c r="D174" s="103" t="s">
        <v>1138</v>
      </c>
      <c r="E174" s="103" t="s">
        <v>1507</v>
      </c>
      <c r="F174" s="105" t="s">
        <v>1506</v>
      </c>
      <c r="G174" s="105" t="s">
        <v>1505</v>
      </c>
      <c r="H174" s="103" t="s">
        <v>8</v>
      </c>
      <c r="I174" s="103" t="s">
        <v>143</v>
      </c>
      <c r="J174" s="222" t="s">
        <v>18</v>
      </c>
      <c r="K174" s="224"/>
      <c r="L174" s="224"/>
      <c r="M174" s="193"/>
      <c r="N174" s="223" t="s">
        <v>27</v>
      </c>
      <c r="O174" s="136"/>
      <c r="P174" s="105" t="s">
        <v>126</v>
      </c>
      <c r="Q174" s="105" t="s">
        <v>1026</v>
      </c>
      <c r="R174" s="105" t="s">
        <v>10</v>
      </c>
      <c r="S174" s="104"/>
      <c r="T174" s="106" t="s">
        <v>1438</v>
      </c>
      <c r="U174" s="106" t="s">
        <v>24</v>
      </c>
      <c r="V174" s="105" t="s">
        <v>24</v>
      </c>
      <c r="W174" s="107"/>
      <c r="X174" s="107"/>
      <c r="Y174" s="192" t="str">
        <f>_xlfn.LET(_xlpm.v,_xlfn.XLOOKUP(E174,'[1]SME09-01_LHM'!$D:$D,'[1]SME09-01_LHM'!$AL:$AL),IF(_xlpm.v=0,"",_xlpm.v))</f>
        <v/>
      </c>
      <c r="Z174" s="104" t="str">
        <f>_xlfn.LET(_xlpm.v,IF(ISTEXT(Y174),_xlfn.XLOOKUP(Y174,'JP-PINT'!A:A,'JP-PINT'!B:B),""),IF(ISERROR(_xlpm.v),"",_xlpm.v))</f>
        <v/>
      </c>
      <c r="AA174" s="223" t="s">
        <v>24</v>
      </c>
    </row>
    <row r="175" spans="1:27" s="137" customFormat="1" ht="12.75" customHeight="1">
      <c r="A175" s="4">
        <f>IF(ISTEXT(E175),_xlfn.XLOOKUP(E175,'[1]SME09-01_LHM'!$D:$D,'[1]SME09-01_LHM'!$B:$B))</f>
        <v>246</v>
      </c>
      <c r="B175" s="4">
        <f>_xlfn.XLOOKUP(F175,'[1]SME09-01_LHM'!$I:$I,'[1]SME09-01_LHM'!$B:$B)</f>
        <v>246</v>
      </c>
      <c r="C175" s="102">
        <f>ROW()-25</f>
        <v>150</v>
      </c>
      <c r="D175" s="103" t="s">
        <v>1138</v>
      </c>
      <c r="E175" s="103" t="s">
        <v>1504</v>
      </c>
      <c r="F175" s="105" t="s">
        <v>1503</v>
      </c>
      <c r="G175" s="105" t="s">
        <v>1502</v>
      </c>
      <c r="H175" s="103" t="s">
        <v>8</v>
      </c>
      <c r="I175" s="103" t="s">
        <v>143</v>
      </c>
      <c r="J175" s="222" t="s">
        <v>18</v>
      </c>
      <c r="K175" s="224"/>
      <c r="L175" s="224"/>
      <c r="M175" s="193"/>
      <c r="N175" s="223" t="s">
        <v>27</v>
      </c>
      <c r="O175" s="136"/>
      <c r="P175" s="105" t="s">
        <v>126</v>
      </c>
      <c r="Q175" s="105" t="s">
        <v>1022</v>
      </c>
      <c r="R175" s="105" t="s">
        <v>10</v>
      </c>
      <c r="S175" s="104" t="s">
        <v>1021</v>
      </c>
      <c r="T175" s="106" t="s">
        <v>13</v>
      </c>
      <c r="U175" s="106" t="s">
        <v>24</v>
      </c>
      <c r="V175" s="105" t="s">
        <v>24</v>
      </c>
      <c r="W175" s="107"/>
      <c r="X175" s="107"/>
      <c r="Y175" s="192" t="str">
        <f>_xlfn.LET(_xlpm.v,_xlfn.XLOOKUP(E175,'[1]SME09-01_LHM'!$D:$D,'[1]SME09-01_LHM'!$AL:$AL),IF(_xlpm.v=0,"",_xlpm.v))</f>
        <v/>
      </c>
      <c r="Z175" s="104" t="str">
        <f>_xlfn.LET(_xlpm.v,IF(ISTEXT(Y175),_xlfn.XLOOKUP(Y175,'JP-PINT'!A:A,'JP-PINT'!B:B),""),IF(ISERROR(_xlpm.v),"",_xlpm.v))</f>
        <v/>
      </c>
      <c r="AA175" s="223" t="s">
        <v>24</v>
      </c>
    </row>
    <row r="176" spans="1:27" s="137" customFormat="1" ht="12.75" customHeight="1">
      <c r="A176" s="4">
        <f>IF(ISTEXT(E176),_xlfn.XLOOKUP(E176,'[1]SME09-01_LHM'!$D:$D,'[1]SME09-01_LHM'!$B:$B))</f>
        <v>247</v>
      </c>
      <c r="B176" s="4">
        <f>_xlfn.XLOOKUP(F176,'[1]SME09-01_LHM'!$I:$I,'[1]SME09-01_LHM'!$B:$B)</f>
        <v>247</v>
      </c>
      <c r="C176" s="102">
        <f>ROW()-25</f>
        <v>151</v>
      </c>
      <c r="D176" s="103" t="s">
        <v>1138</v>
      </c>
      <c r="E176" s="103" t="s">
        <v>1501</v>
      </c>
      <c r="F176" s="105" t="s">
        <v>1500</v>
      </c>
      <c r="G176" s="105" t="s">
        <v>1499</v>
      </c>
      <c r="H176" s="103" t="s">
        <v>8</v>
      </c>
      <c r="I176" s="103" t="s">
        <v>143</v>
      </c>
      <c r="J176" s="222" t="s">
        <v>18</v>
      </c>
      <c r="K176" s="224"/>
      <c r="L176" s="224"/>
      <c r="M176" s="193"/>
      <c r="N176" s="223" t="s">
        <v>27</v>
      </c>
      <c r="O176" s="136"/>
      <c r="P176" s="105" t="s">
        <v>126</v>
      </c>
      <c r="Q176" s="105" t="s">
        <v>1016</v>
      </c>
      <c r="R176" s="105" t="s">
        <v>10</v>
      </c>
      <c r="S176" s="104"/>
      <c r="T176" s="103"/>
      <c r="U176" s="106" t="s">
        <v>24</v>
      </c>
      <c r="V176" s="105" t="s">
        <v>24</v>
      </c>
      <c r="W176" s="107"/>
      <c r="X176" s="107"/>
      <c r="Y176" s="192" t="str">
        <f>_xlfn.LET(_xlpm.v,_xlfn.XLOOKUP(E176,'[1]SME09-01_LHM'!$D:$D,'[1]SME09-01_LHM'!$AL:$AL),IF(_xlpm.v=0,"",_xlpm.v))</f>
        <v/>
      </c>
      <c r="Z176" s="104" t="str">
        <f>_xlfn.LET(_xlpm.v,IF(ISTEXT(Y176),_xlfn.XLOOKUP(Y176,'JP-PINT'!A:A,'JP-PINT'!B:B),""),IF(ISERROR(_xlpm.v),"",_xlpm.v))</f>
        <v/>
      </c>
      <c r="AA176" s="223" t="s">
        <v>24</v>
      </c>
    </row>
    <row r="177" spans="1:27" s="137" customFormat="1" ht="12.75" customHeight="1">
      <c r="A177" s="4">
        <f>IF(ISTEXT(E177),_xlfn.XLOOKUP(E177,'[1]SME09-01_LHM'!$D:$D,'[1]SME09-01_LHM'!$B:$B))</f>
        <v>248</v>
      </c>
      <c r="B177" s="4">
        <f>_xlfn.XLOOKUP(F177,'[1]SME09-01_LHM'!$I:$I,'[1]SME09-01_LHM'!$B:$B)</f>
        <v>248</v>
      </c>
      <c r="C177" s="102">
        <f>ROW()-25</f>
        <v>152</v>
      </c>
      <c r="D177" s="103" t="s">
        <v>1138</v>
      </c>
      <c r="E177" s="103" t="s">
        <v>1498</v>
      </c>
      <c r="F177" s="93" t="s">
        <v>2148</v>
      </c>
      <c r="G177" s="105" t="s">
        <v>1497</v>
      </c>
      <c r="H177" s="103" t="s">
        <v>8</v>
      </c>
      <c r="I177" s="103" t="s">
        <v>143</v>
      </c>
      <c r="J177" s="222" t="s">
        <v>18</v>
      </c>
      <c r="K177" s="224"/>
      <c r="L177" s="224"/>
      <c r="M177" s="193"/>
      <c r="N177" s="223" t="s">
        <v>27</v>
      </c>
      <c r="O177" s="136"/>
      <c r="P177" s="105" t="s">
        <v>126</v>
      </c>
      <c r="Q177" s="105" t="s">
        <v>1496</v>
      </c>
      <c r="R177" s="105" t="s">
        <v>25</v>
      </c>
      <c r="S177" s="104"/>
      <c r="T177" s="106"/>
      <c r="U177" s="106" t="s">
        <v>24</v>
      </c>
      <c r="V177" s="105" t="s">
        <v>24</v>
      </c>
      <c r="W177" s="107"/>
      <c r="X177" s="107"/>
      <c r="Y177" s="192" t="str">
        <f>_xlfn.LET(_xlpm.v,_xlfn.XLOOKUP(E177,'[1]SME09-01_LHM'!$D:$D,'[1]SME09-01_LHM'!$AL:$AL),IF(_xlpm.v=0,"",_xlpm.v))</f>
        <v/>
      </c>
      <c r="Z177" s="104" t="str">
        <f>_xlfn.LET(_xlpm.v,IF(ISTEXT(Y177),_xlfn.XLOOKUP(Y177,'JP-PINT'!A:A,'JP-PINT'!B:B),""),IF(ISERROR(_xlpm.v),"",_xlpm.v))</f>
        <v/>
      </c>
      <c r="AA177" s="223" t="s">
        <v>24</v>
      </c>
    </row>
    <row r="178" spans="1:27" s="134" customFormat="1" ht="12.75" customHeight="1">
      <c r="A178" s="4">
        <f>IF(ISTEXT(E178),_xlfn.XLOOKUP(E178,'[1]SME09-01_LHM'!$D:$D,'[1]SME09-01_LHM'!$B:$B))</f>
        <v>250</v>
      </c>
      <c r="B178" s="4">
        <f>_xlfn.XLOOKUP(F178,'[1]SME09-01_LHM'!$I:$I,'[1]SME09-01_LHM'!$B:$B)</f>
        <v>250</v>
      </c>
      <c r="C178" s="102">
        <f>ROW()-25</f>
        <v>153</v>
      </c>
      <c r="D178" s="103" t="s">
        <v>1138</v>
      </c>
      <c r="E178" s="103" t="s">
        <v>1495</v>
      </c>
      <c r="F178" s="105" t="s">
        <v>1494</v>
      </c>
      <c r="G178" s="105" t="s">
        <v>1493</v>
      </c>
      <c r="H178" s="103" t="s">
        <v>8</v>
      </c>
      <c r="I178" s="103" t="s">
        <v>143</v>
      </c>
      <c r="J178" s="222" t="s">
        <v>18</v>
      </c>
      <c r="K178" s="224"/>
      <c r="L178" s="224"/>
      <c r="M178" s="193"/>
      <c r="N178" s="223" t="s">
        <v>27</v>
      </c>
      <c r="O178" s="136"/>
      <c r="P178" s="105" t="s">
        <v>126</v>
      </c>
      <c r="Q178" s="105" t="s">
        <v>1492</v>
      </c>
      <c r="R178" s="105" t="s">
        <v>10</v>
      </c>
      <c r="S178" s="104"/>
      <c r="T178" s="106"/>
      <c r="U178" s="106" t="s">
        <v>24</v>
      </c>
      <c r="V178" s="105" t="s">
        <v>24</v>
      </c>
      <c r="W178" s="107"/>
      <c r="X178" s="107"/>
      <c r="Y178" s="192" t="str">
        <f>_xlfn.LET(_xlpm.v,_xlfn.XLOOKUP(E178,'[1]SME09-01_LHM'!$D:$D,'[1]SME09-01_LHM'!$AL:$AL),IF(_xlpm.v=0,"",_xlpm.v))</f>
        <v/>
      </c>
      <c r="Z178" s="104" t="str">
        <f>_xlfn.LET(_xlpm.v,IF(ISTEXT(Y178),_xlfn.XLOOKUP(Y178,'JP-PINT'!A:A,'JP-PINT'!B:B),""),IF(ISERROR(_xlpm.v),"",_xlpm.v))</f>
        <v/>
      </c>
      <c r="AA178" s="223" t="s">
        <v>24</v>
      </c>
    </row>
    <row r="179" spans="1:27" s="137" customFormat="1" ht="12.75" customHeight="1">
      <c r="A179" s="4">
        <f>IF(ISTEXT(E179),_xlfn.XLOOKUP(E179,'[1]SME09-01_LHM'!$D:$D,'[1]SME09-01_LHM'!$B:$B))</f>
        <v>251</v>
      </c>
      <c r="B179" s="4">
        <f>_xlfn.XLOOKUP(F179,'[1]SME09-01_LHM'!$I:$I,'[1]SME09-01_LHM'!$B:$B)</f>
        <v>251</v>
      </c>
      <c r="C179" s="102">
        <f>ROW()-25</f>
        <v>154</v>
      </c>
      <c r="D179" s="103" t="s">
        <v>1138</v>
      </c>
      <c r="E179" s="103" t="s">
        <v>1491</v>
      </c>
      <c r="F179" s="105" t="s">
        <v>1490</v>
      </c>
      <c r="G179" s="104" t="s">
        <v>1489</v>
      </c>
      <c r="H179" s="103" t="s">
        <v>8</v>
      </c>
      <c r="I179" s="103" t="s">
        <v>143</v>
      </c>
      <c r="J179" s="222" t="s">
        <v>18</v>
      </c>
      <c r="K179" s="224"/>
      <c r="L179" s="224"/>
      <c r="M179" s="193"/>
      <c r="N179" s="223" t="s">
        <v>27</v>
      </c>
      <c r="O179" s="136"/>
      <c r="P179" s="105" t="s">
        <v>126</v>
      </c>
      <c r="Q179" s="105" t="s">
        <v>1488</v>
      </c>
      <c r="R179" s="105" t="s">
        <v>10</v>
      </c>
      <c r="S179" s="104"/>
      <c r="T179" s="103"/>
      <c r="U179" s="103" t="s">
        <v>24</v>
      </c>
      <c r="V179" s="105" t="s">
        <v>24</v>
      </c>
      <c r="W179" s="107"/>
      <c r="X179" s="107"/>
      <c r="Y179" s="192" t="str">
        <f>_xlfn.LET(_xlpm.v,_xlfn.XLOOKUP(E179,'[1]SME09-01_LHM'!$D:$D,'[1]SME09-01_LHM'!$AL:$AL),IF(_xlpm.v=0,"",_xlpm.v))</f>
        <v/>
      </c>
      <c r="Z179" s="104" t="str">
        <f>_xlfn.LET(_xlpm.v,IF(ISTEXT(Y179),_xlfn.XLOOKUP(Y179,'JP-PINT'!A:A,'JP-PINT'!B:B),""),IF(ISERROR(_xlpm.v),"",_xlpm.v))</f>
        <v/>
      </c>
      <c r="AA179" s="223" t="s">
        <v>24</v>
      </c>
    </row>
    <row r="180" spans="1:27" s="134" customFormat="1" ht="12.75" customHeight="1">
      <c r="A180" s="4">
        <f>IF(ISTEXT(E180),_xlfn.XLOOKUP(E180,'[1]SME09-01_LHM'!$D:$D,'[1]SME09-01_LHM'!$B:$B))</f>
        <v>252</v>
      </c>
      <c r="B180" s="4">
        <f>_xlfn.XLOOKUP(F180,'[1]SME09-01_LHM'!$I:$I,'[1]SME09-01_LHM'!$B:$B)</f>
        <v>252</v>
      </c>
      <c r="C180" s="102">
        <f>ROW()-25</f>
        <v>155</v>
      </c>
      <c r="D180" s="103" t="s">
        <v>1138</v>
      </c>
      <c r="E180" s="103" t="s">
        <v>1487</v>
      </c>
      <c r="F180" s="105" t="s">
        <v>1486</v>
      </c>
      <c r="G180" s="105" t="s">
        <v>1485</v>
      </c>
      <c r="H180" s="103" t="s">
        <v>8</v>
      </c>
      <c r="I180" s="103" t="s">
        <v>143</v>
      </c>
      <c r="J180" s="222" t="s">
        <v>18</v>
      </c>
      <c r="K180" s="224"/>
      <c r="L180" s="224"/>
      <c r="M180" s="193"/>
      <c r="N180" s="223" t="s">
        <v>27</v>
      </c>
      <c r="O180" s="136"/>
      <c r="P180" s="105" t="s">
        <v>126</v>
      </c>
      <c r="Q180" s="105" t="s">
        <v>1484</v>
      </c>
      <c r="R180" s="105" t="s">
        <v>10</v>
      </c>
      <c r="S180" s="104"/>
      <c r="T180" s="106"/>
      <c r="U180" s="106" t="s">
        <v>24</v>
      </c>
      <c r="V180" s="105" t="s">
        <v>24</v>
      </c>
      <c r="W180" s="107"/>
      <c r="X180" s="107"/>
      <c r="Y180" s="192" t="str">
        <f>_xlfn.LET(_xlpm.v,_xlfn.XLOOKUP(E180,'[1]SME09-01_LHM'!$D:$D,'[1]SME09-01_LHM'!$AL:$AL),IF(_xlpm.v=0,"",_xlpm.v))</f>
        <v/>
      </c>
      <c r="Z180" s="104" t="str">
        <f>_xlfn.LET(_xlpm.v,IF(ISTEXT(Y180),_xlfn.XLOOKUP(Y180,'JP-PINT'!A:A,'JP-PINT'!B:B),""),IF(ISERROR(_xlpm.v),"",_xlpm.v))</f>
        <v/>
      </c>
      <c r="AA180" s="223" t="s">
        <v>24</v>
      </c>
    </row>
    <row r="181" spans="1:27" s="134" customFormat="1" ht="12.75" customHeight="1">
      <c r="A181" s="4">
        <f>IF(ISTEXT(E181),_xlfn.XLOOKUP(E181,'[1]SME09-01_LHM'!$D:$D,'[1]SME09-01_LHM'!$B:$B))</f>
        <v>253</v>
      </c>
      <c r="B181" s="4">
        <f>_xlfn.XLOOKUP(F181,'[1]SME09-01_LHM'!$I:$I,'[1]SME09-01_LHM'!$B:$B)</f>
        <v>253</v>
      </c>
      <c r="C181" s="102">
        <f>ROW()-25</f>
        <v>156</v>
      </c>
      <c r="D181" s="103" t="s">
        <v>1138</v>
      </c>
      <c r="E181" s="103" t="s">
        <v>1483</v>
      </c>
      <c r="F181" s="105" t="s">
        <v>1482</v>
      </c>
      <c r="G181" s="105" t="s">
        <v>1481</v>
      </c>
      <c r="H181" s="103" t="s">
        <v>8</v>
      </c>
      <c r="I181" s="103" t="s">
        <v>143</v>
      </c>
      <c r="J181" s="222" t="s">
        <v>18</v>
      </c>
      <c r="K181" s="224"/>
      <c r="L181" s="224"/>
      <c r="M181" s="193"/>
      <c r="N181" s="223" t="s">
        <v>27</v>
      </c>
      <c r="O181" s="136"/>
      <c r="P181" s="105" t="s">
        <v>126</v>
      </c>
      <c r="Q181" s="105" t="s">
        <v>1480</v>
      </c>
      <c r="R181" s="105" t="s">
        <v>10</v>
      </c>
      <c r="S181" s="104"/>
      <c r="T181" s="106"/>
      <c r="U181" s="106" t="s">
        <v>24</v>
      </c>
      <c r="V181" s="105" t="s">
        <v>24</v>
      </c>
      <c r="W181" s="107"/>
      <c r="X181" s="107"/>
      <c r="Y181" s="192" t="str">
        <f>_xlfn.LET(_xlpm.v,_xlfn.XLOOKUP(E181,'[1]SME09-01_LHM'!$D:$D,'[1]SME09-01_LHM'!$AL:$AL),IF(_xlpm.v=0,"",_xlpm.v))</f>
        <v/>
      </c>
      <c r="Z181" s="104" t="str">
        <f>_xlfn.LET(_xlpm.v,IF(ISTEXT(Y181),_xlfn.XLOOKUP(Y181,'JP-PINT'!A:A,'JP-PINT'!B:B),""),IF(ISERROR(_xlpm.v),"",_xlpm.v))</f>
        <v/>
      </c>
      <c r="AA181" s="223" t="s">
        <v>24</v>
      </c>
    </row>
    <row r="182" spans="1:27" s="134" customFormat="1" ht="12.75" customHeight="1">
      <c r="A182" s="4">
        <f>IF(ISTEXT(E182),_xlfn.XLOOKUP(E182,'[1]SME09-01_LHM'!$D:$D,'[1]SME09-01_LHM'!$B:$B))</f>
        <v>256</v>
      </c>
      <c r="B182" s="4">
        <f>_xlfn.XLOOKUP(F182,'[1]SME09-01_LHM'!$I:$I,'[1]SME09-01_LHM'!$B:$B)</f>
        <v>256</v>
      </c>
      <c r="C182" s="102">
        <f>ROW()-25</f>
        <v>157</v>
      </c>
      <c r="D182" s="103" t="s">
        <v>1138</v>
      </c>
      <c r="E182" s="103" t="s">
        <v>1479</v>
      </c>
      <c r="F182" s="105" t="s">
        <v>1478</v>
      </c>
      <c r="G182" s="105" t="s">
        <v>1477</v>
      </c>
      <c r="H182" s="103" t="s">
        <v>8</v>
      </c>
      <c r="I182" s="103" t="s">
        <v>143</v>
      </c>
      <c r="J182" s="222" t="s">
        <v>18</v>
      </c>
      <c r="K182" s="224"/>
      <c r="L182" s="224"/>
      <c r="M182" s="193"/>
      <c r="N182" s="223" t="s">
        <v>27</v>
      </c>
      <c r="O182" s="136"/>
      <c r="P182" s="105" t="s">
        <v>126</v>
      </c>
      <c r="Q182" s="104" t="s">
        <v>1473</v>
      </c>
      <c r="R182" s="105" t="s">
        <v>10</v>
      </c>
      <c r="S182" s="104"/>
      <c r="T182" s="106"/>
      <c r="U182" s="106" t="s">
        <v>24</v>
      </c>
      <c r="V182" s="105" t="s">
        <v>24</v>
      </c>
      <c r="W182" s="107"/>
      <c r="X182" s="107"/>
      <c r="Y182" s="192" t="str">
        <f>_xlfn.LET(_xlpm.v,_xlfn.XLOOKUP(E182,'[1]SME09-01_LHM'!$D:$D,'[1]SME09-01_LHM'!$AL:$AL),IF(_xlpm.v=0,"",_xlpm.v))</f>
        <v/>
      </c>
      <c r="Z182" s="104" t="str">
        <f>_xlfn.LET(_xlpm.v,IF(ISTEXT(Y182),_xlfn.XLOOKUP(Y182,'JP-PINT'!A:A,'JP-PINT'!B:B),""),IF(ISERROR(_xlpm.v),"",_xlpm.v))</f>
        <v/>
      </c>
      <c r="AA182" s="223" t="s">
        <v>24</v>
      </c>
    </row>
    <row r="183" spans="1:27" s="137" customFormat="1" ht="12.75" customHeight="1">
      <c r="A183" s="4">
        <f>IF(ISTEXT(E183),_xlfn.XLOOKUP(E183,'[1]SME09-01_LHM'!$D:$D,'[1]SME09-01_LHM'!$B:$B))</f>
        <v>259</v>
      </c>
      <c r="B183" s="4">
        <f>_xlfn.XLOOKUP(F183,'[1]SME09-01_LHM'!$I:$I,'[1]SME09-01_LHM'!$B:$B)</f>
        <v>259</v>
      </c>
      <c r="C183" s="102">
        <f>ROW()-25</f>
        <v>158</v>
      </c>
      <c r="D183" s="138" t="s">
        <v>1138</v>
      </c>
      <c r="E183" s="103" t="s">
        <v>1476</v>
      </c>
      <c r="F183" s="102" t="s">
        <v>1475</v>
      </c>
      <c r="G183" s="102" t="s">
        <v>1474</v>
      </c>
      <c r="H183" s="103" t="s">
        <v>8</v>
      </c>
      <c r="I183" s="103" t="s">
        <v>143</v>
      </c>
      <c r="J183" s="106" t="s">
        <v>18</v>
      </c>
      <c r="K183" s="171"/>
      <c r="L183" s="171"/>
      <c r="M183" s="146"/>
      <c r="N183" s="223" t="s">
        <v>27</v>
      </c>
      <c r="O183" s="136"/>
      <c r="P183" s="102" t="s">
        <v>126</v>
      </c>
      <c r="Q183" s="104" t="s">
        <v>1473</v>
      </c>
      <c r="R183" s="105" t="s">
        <v>10</v>
      </c>
      <c r="S183" s="104"/>
      <c r="T183" s="103"/>
      <c r="U183" s="103" t="s">
        <v>24</v>
      </c>
      <c r="V183" s="105" t="s">
        <v>24</v>
      </c>
      <c r="W183" s="107"/>
      <c r="X183" s="107"/>
      <c r="Y183" s="192" t="str">
        <f>_xlfn.LET(_xlpm.v,_xlfn.XLOOKUP(E183,'[1]SME09-01_LHM'!$D:$D,'[1]SME09-01_LHM'!$AL:$AL),IF(_xlpm.v=0,"",_xlpm.v))</f>
        <v/>
      </c>
      <c r="Z183" s="104" t="str">
        <f>_xlfn.LET(_xlpm.v,IF(ISTEXT(Y183),_xlfn.XLOOKUP(Y183,'JP-PINT'!A:A,'JP-PINT'!B:B),""),IF(ISERROR(_xlpm.v),"",_xlpm.v))</f>
        <v/>
      </c>
      <c r="AA183" s="223" t="s">
        <v>24</v>
      </c>
    </row>
    <row r="184" spans="1:27" s="137" customFormat="1" ht="12.75" customHeight="1">
      <c r="A184" s="4">
        <f>IF(ISTEXT(E184),_xlfn.XLOOKUP(E184,'[1]SME09-01_LHM'!$D:$D,'[1]SME09-01_LHM'!$B:$B))</f>
        <v>262</v>
      </c>
      <c r="B184" s="4">
        <f>_xlfn.XLOOKUP(F184,'[1]SME09-01_LHM'!$I:$I,'[1]SME09-01_LHM'!$B:$B)</f>
        <v>262</v>
      </c>
      <c r="C184" s="102">
        <f>ROW()-25</f>
        <v>159</v>
      </c>
      <c r="D184" s="103" t="s">
        <v>1138</v>
      </c>
      <c r="E184" s="103" t="s">
        <v>1472</v>
      </c>
      <c r="F184" s="105" t="s">
        <v>1471</v>
      </c>
      <c r="G184" s="105" t="s">
        <v>1470</v>
      </c>
      <c r="H184" s="103" t="s">
        <v>8</v>
      </c>
      <c r="I184" s="103" t="s">
        <v>143</v>
      </c>
      <c r="J184" s="222" t="s">
        <v>18</v>
      </c>
      <c r="K184" s="224"/>
      <c r="L184" s="224"/>
      <c r="M184" s="193"/>
      <c r="N184" s="223" t="s">
        <v>27</v>
      </c>
      <c r="O184" s="136"/>
      <c r="P184" s="105" t="s">
        <v>126</v>
      </c>
      <c r="Q184" s="105" t="s">
        <v>1446</v>
      </c>
      <c r="R184" s="105" t="s">
        <v>10</v>
      </c>
      <c r="S184" s="104"/>
      <c r="T184" s="103"/>
      <c r="U184" s="103" t="s">
        <v>24</v>
      </c>
      <c r="V184" s="105" t="s">
        <v>24</v>
      </c>
      <c r="W184" s="107"/>
      <c r="X184" s="107"/>
      <c r="Y184" s="192" t="str">
        <f>_xlfn.LET(_xlpm.v,_xlfn.XLOOKUP(E184,'[1]SME09-01_LHM'!$D:$D,'[1]SME09-01_LHM'!$AL:$AL),IF(_xlpm.v=0,"",_xlpm.v))</f>
        <v/>
      </c>
      <c r="Z184" s="104" t="str">
        <f>_xlfn.LET(_xlpm.v,IF(ISTEXT(Y184),_xlfn.XLOOKUP(Y184,'JP-PINT'!A:A,'JP-PINT'!B:B),""),IF(ISERROR(_xlpm.v),"",_xlpm.v))</f>
        <v/>
      </c>
      <c r="AA184" s="223" t="s">
        <v>24</v>
      </c>
    </row>
    <row r="185" spans="1:27" s="137" customFormat="1" ht="12.75" customHeight="1">
      <c r="A185" s="4">
        <f>IF(ISTEXT(E185),_xlfn.XLOOKUP(E185,'[1]SME09-01_LHM'!$D:$D,'[1]SME09-01_LHM'!$B:$B))</f>
        <v>263</v>
      </c>
      <c r="B185" s="4">
        <f>_xlfn.XLOOKUP(F185,'[1]SME09-01_LHM'!$I:$I,'[1]SME09-01_LHM'!$B:$B)</f>
        <v>263</v>
      </c>
      <c r="C185" s="102">
        <f>ROW()-25</f>
        <v>160</v>
      </c>
      <c r="D185" s="103" t="s">
        <v>1138</v>
      </c>
      <c r="E185" s="103" t="s">
        <v>1469</v>
      </c>
      <c r="F185" s="93" t="s">
        <v>2149</v>
      </c>
      <c r="G185" s="105" t="s">
        <v>1468</v>
      </c>
      <c r="H185" s="103" t="s">
        <v>8</v>
      </c>
      <c r="I185" s="103" t="s">
        <v>143</v>
      </c>
      <c r="J185" s="222" t="s">
        <v>18</v>
      </c>
      <c r="K185" s="224"/>
      <c r="L185" s="224"/>
      <c r="M185" s="193"/>
      <c r="N185" s="223" t="s">
        <v>27</v>
      </c>
      <c r="O185" s="136"/>
      <c r="P185" s="105" t="s">
        <v>126</v>
      </c>
      <c r="Q185" s="105" t="s">
        <v>1012</v>
      </c>
      <c r="R185" s="105" t="s">
        <v>25</v>
      </c>
      <c r="S185" s="104"/>
      <c r="T185" s="103"/>
      <c r="U185" s="103" t="s">
        <v>24</v>
      </c>
      <c r="V185" s="105" t="s">
        <v>24</v>
      </c>
      <c r="W185" s="107"/>
      <c r="X185" s="107"/>
      <c r="Y185" s="192" t="str">
        <f>_xlfn.LET(_xlpm.v,_xlfn.XLOOKUP(E185,'[1]SME09-01_LHM'!$D:$D,'[1]SME09-01_LHM'!$AL:$AL),IF(_xlpm.v=0,"",_xlpm.v))</f>
        <v/>
      </c>
      <c r="Z185" s="104" t="str">
        <f>_xlfn.LET(_xlpm.v,IF(ISTEXT(Y185),_xlfn.XLOOKUP(Y185,'JP-PINT'!A:A,'JP-PINT'!B:B),""),IF(ISERROR(_xlpm.v),"",_xlpm.v))</f>
        <v/>
      </c>
      <c r="AA185" s="223" t="s">
        <v>24</v>
      </c>
    </row>
    <row r="186" spans="1:27" s="137" customFormat="1" ht="12.75" customHeight="1">
      <c r="A186" s="4">
        <f>IF(ISTEXT(E186),_xlfn.XLOOKUP(E186,'[1]SME09-01_LHM'!$D:$D,'[1]SME09-01_LHM'!$B:$B))</f>
        <v>265</v>
      </c>
      <c r="B186" s="4">
        <f>_xlfn.XLOOKUP(F186,'[1]SME09-01_LHM'!$I:$I,'[1]SME09-01_LHM'!$B:$B)</f>
        <v>265</v>
      </c>
      <c r="C186" s="102">
        <f>ROW()-25</f>
        <v>161</v>
      </c>
      <c r="D186" s="103" t="s">
        <v>1138</v>
      </c>
      <c r="E186" s="103" t="s">
        <v>1467</v>
      </c>
      <c r="F186" s="105" t="s">
        <v>1466</v>
      </c>
      <c r="G186" s="105" t="s">
        <v>1465</v>
      </c>
      <c r="H186" s="103" t="s">
        <v>8</v>
      </c>
      <c r="I186" s="103" t="s">
        <v>143</v>
      </c>
      <c r="J186" s="222" t="s">
        <v>18</v>
      </c>
      <c r="K186" s="224"/>
      <c r="L186" s="224"/>
      <c r="M186" s="193"/>
      <c r="N186" s="223" t="s">
        <v>27</v>
      </c>
      <c r="O186" s="136"/>
      <c r="P186" s="105" t="s">
        <v>126</v>
      </c>
      <c r="Q186" s="105" t="s">
        <v>1007</v>
      </c>
      <c r="R186" s="105" t="s">
        <v>10</v>
      </c>
      <c r="S186" s="104"/>
      <c r="T186" s="103"/>
      <c r="U186" s="103" t="s">
        <v>24</v>
      </c>
      <c r="V186" s="105" t="s">
        <v>24</v>
      </c>
      <c r="W186" s="107"/>
      <c r="X186" s="107"/>
      <c r="Y186" s="192" t="str">
        <f>_xlfn.LET(_xlpm.v,_xlfn.XLOOKUP(E186,'[1]SME09-01_LHM'!$D:$D,'[1]SME09-01_LHM'!$AL:$AL),IF(_xlpm.v=0,"",_xlpm.v))</f>
        <v/>
      </c>
      <c r="Z186" s="104" t="str">
        <f>_xlfn.LET(_xlpm.v,IF(ISTEXT(Y186),_xlfn.XLOOKUP(Y186,'JP-PINT'!A:A,'JP-PINT'!B:B),""),IF(ISERROR(_xlpm.v),"",_xlpm.v))</f>
        <v/>
      </c>
      <c r="AA186" s="223" t="s">
        <v>24</v>
      </c>
    </row>
    <row r="187" spans="1:27" s="137" customFormat="1" ht="12.75" customHeight="1">
      <c r="A187" s="4">
        <f>IF(ISTEXT(E187),_xlfn.XLOOKUP(E187,'[1]SME09-01_LHM'!$D:$D,'[1]SME09-01_LHM'!$B:$B))</f>
        <v>266</v>
      </c>
      <c r="B187" s="4">
        <f>_xlfn.XLOOKUP(F187,'[1]SME09-01_LHM'!$I:$I,'[1]SME09-01_LHM'!$B:$B)</f>
        <v>266</v>
      </c>
      <c r="C187" s="102">
        <f>ROW()-25</f>
        <v>162</v>
      </c>
      <c r="D187" s="103" t="s">
        <v>1138</v>
      </c>
      <c r="E187" s="103" t="s">
        <v>1464</v>
      </c>
      <c r="F187" s="105" t="s">
        <v>1463</v>
      </c>
      <c r="G187" s="105" t="s">
        <v>1462</v>
      </c>
      <c r="H187" s="103" t="s">
        <v>8</v>
      </c>
      <c r="I187" s="103" t="s">
        <v>143</v>
      </c>
      <c r="J187" s="222" t="s">
        <v>18</v>
      </c>
      <c r="K187" s="224"/>
      <c r="L187" s="224"/>
      <c r="M187" s="193"/>
      <c r="N187" s="223" t="s">
        <v>27</v>
      </c>
      <c r="O187" s="136"/>
      <c r="P187" s="105" t="s">
        <v>126</v>
      </c>
      <c r="Q187" s="105" t="s">
        <v>1002</v>
      </c>
      <c r="R187" s="105" t="s">
        <v>10</v>
      </c>
      <c r="S187" s="104"/>
      <c r="T187" s="106"/>
      <c r="U187" s="106" t="s">
        <v>24</v>
      </c>
      <c r="V187" s="105" t="s">
        <v>24</v>
      </c>
      <c r="W187" s="107"/>
      <c r="X187" s="107"/>
      <c r="Y187" s="192" t="str">
        <f>_xlfn.LET(_xlpm.v,_xlfn.XLOOKUP(E187,'[1]SME09-01_LHM'!$D:$D,'[1]SME09-01_LHM'!$AL:$AL),IF(_xlpm.v=0,"",_xlpm.v))</f>
        <v/>
      </c>
      <c r="Z187" s="104" t="str">
        <f>_xlfn.LET(_xlpm.v,IF(ISTEXT(Y187),_xlfn.XLOOKUP(Y187,'JP-PINT'!A:A,'JP-PINT'!B:B),""),IF(ISERROR(_xlpm.v),"",_xlpm.v))</f>
        <v/>
      </c>
      <c r="AA187" s="223" t="s">
        <v>24</v>
      </c>
    </row>
    <row r="188" spans="1:27" s="137" customFormat="1" ht="12.75" customHeight="1">
      <c r="A188" s="4">
        <f>IF(ISTEXT(E188),_xlfn.XLOOKUP(E188,'[1]SME09-01_LHM'!$D:$D,'[1]SME09-01_LHM'!$B:$B))</f>
        <v>267</v>
      </c>
      <c r="B188" s="4">
        <f>_xlfn.XLOOKUP(F188,'[1]SME09-01_LHM'!$I:$I,'[1]SME09-01_LHM'!$B:$B)</f>
        <v>267</v>
      </c>
      <c r="C188" s="102">
        <f>ROW()-25</f>
        <v>163</v>
      </c>
      <c r="D188" s="103" t="s">
        <v>1138</v>
      </c>
      <c r="E188" s="103" t="s">
        <v>1461</v>
      </c>
      <c r="F188" s="105" t="s">
        <v>1460</v>
      </c>
      <c r="G188" s="105" t="s">
        <v>1459</v>
      </c>
      <c r="H188" s="103" t="s">
        <v>8</v>
      </c>
      <c r="I188" s="103" t="s">
        <v>143</v>
      </c>
      <c r="J188" s="222" t="s">
        <v>18</v>
      </c>
      <c r="K188" s="224"/>
      <c r="L188" s="224"/>
      <c r="M188" s="193"/>
      <c r="N188" s="223" t="s">
        <v>27</v>
      </c>
      <c r="O188" s="225"/>
      <c r="P188" s="105" t="s">
        <v>126</v>
      </c>
      <c r="Q188" s="105" t="s">
        <v>997</v>
      </c>
      <c r="R188" s="105" t="s">
        <v>10</v>
      </c>
      <c r="S188" s="104"/>
      <c r="T188" s="106"/>
      <c r="U188" s="106" t="s">
        <v>24</v>
      </c>
      <c r="V188" s="105" t="s">
        <v>24</v>
      </c>
      <c r="W188" s="226"/>
      <c r="X188" s="226"/>
      <c r="Y188" s="192" t="str">
        <f>_xlfn.LET(_xlpm.v,_xlfn.XLOOKUP(E188,'[1]SME09-01_LHM'!$D:$D,'[1]SME09-01_LHM'!$AL:$AL),IF(_xlpm.v=0,"",_xlpm.v))</f>
        <v/>
      </c>
      <c r="Z188" s="104" t="str">
        <f>_xlfn.LET(_xlpm.v,IF(ISTEXT(Y188),_xlfn.XLOOKUP(Y188,'JP-PINT'!A:A,'JP-PINT'!B:B),""),IF(ISERROR(_xlpm.v),"",_xlpm.v))</f>
        <v/>
      </c>
      <c r="AA188" s="223" t="s">
        <v>24</v>
      </c>
    </row>
    <row r="189" spans="1:27" s="228" customFormat="1" ht="12.75" customHeight="1">
      <c r="A189" s="4">
        <f>IF(ISTEXT(E189),_xlfn.XLOOKUP(E189,'[1]SME09-01_LHM'!$D:$D,'[1]SME09-01_LHM'!$B:$B))</f>
        <v>268</v>
      </c>
      <c r="B189" s="4">
        <f>_xlfn.XLOOKUP(F189,'[1]SME09-01_LHM'!$I:$I,'[1]SME09-01_LHM'!$B:$B)</f>
        <v>268</v>
      </c>
      <c r="C189" s="102">
        <f>ROW()-25</f>
        <v>164</v>
      </c>
      <c r="D189" s="103" t="s">
        <v>1138</v>
      </c>
      <c r="E189" s="103" t="s">
        <v>1458</v>
      </c>
      <c r="F189" s="105" t="s">
        <v>1457</v>
      </c>
      <c r="G189" s="105" t="s">
        <v>1456</v>
      </c>
      <c r="H189" s="103" t="s">
        <v>8</v>
      </c>
      <c r="I189" s="103" t="s">
        <v>143</v>
      </c>
      <c r="J189" s="222" t="s">
        <v>18</v>
      </c>
      <c r="K189" s="224"/>
      <c r="L189" s="224"/>
      <c r="M189" s="193"/>
      <c r="N189" s="223" t="s">
        <v>27</v>
      </c>
      <c r="O189" s="225"/>
      <c r="P189" s="105" t="s">
        <v>126</v>
      </c>
      <c r="Q189" s="105" t="s">
        <v>992</v>
      </c>
      <c r="R189" s="105" t="s">
        <v>10</v>
      </c>
      <c r="S189" s="104"/>
      <c r="T189" s="106"/>
      <c r="U189" s="106" t="s">
        <v>24</v>
      </c>
      <c r="V189" s="105" t="s">
        <v>24</v>
      </c>
      <c r="W189" s="226"/>
      <c r="X189" s="226"/>
      <c r="Y189" s="192" t="str">
        <f>_xlfn.LET(_xlpm.v,_xlfn.XLOOKUP(E189,'[1]SME09-01_LHM'!$D:$D,'[1]SME09-01_LHM'!$AL:$AL),IF(_xlpm.v=0,"",_xlpm.v))</f>
        <v/>
      </c>
      <c r="Z189" s="104" t="str">
        <f>_xlfn.LET(_xlpm.v,IF(ISTEXT(Y189),_xlfn.XLOOKUP(Y189,'JP-PINT'!A:A,'JP-PINT'!B:B),""),IF(ISERROR(_xlpm.v),"",_xlpm.v))</f>
        <v/>
      </c>
      <c r="AA189" s="223" t="s">
        <v>24</v>
      </c>
    </row>
    <row r="190" spans="1:27" s="228" customFormat="1" ht="12.75" customHeight="1">
      <c r="A190" s="4">
        <f>IF(ISTEXT(E190),_xlfn.XLOOKUP(E190,'[1]SME09-01_LHM'!$D:$D,'[1]SME09-01_LHM'!$B:$B))</f>
        <v>269</v>
      </c>
      <c r="B190" s="4">
        <f>_xlfn.XLOOKUP(F190,'[1]SME09-01_LHM'!$I:$I,'[1]SME09-01_LHM'!$B:$B)</f>
        <v>269</v>
      </c>
      <c r="C190" s="102">
        <f>ROW()-25</f>
        <v>165</v>
      </c>
      <c r="D190" s="103" t="s">
        <v>1138</v>
      </c>
      <c r="E190" s="103" t="s">
        <v>1455</v>
      </c>
      <c r="F190" s="105" t="s">
        <v>1454</v>
      </c>
      <c r="G190" s="105" t="s">
        <v>1453</v>
      </c>
      <c r="H190" s="103" t="s">
        <v>31</v>
      </c>
      <c r="I190" s="103" t="s">
        <v>143</v>
      </c>
      <c r="J190" s="222" t="s">
        <v>18</v>
      </c>
      <c r="K190" s="224"/>
      <c r="L190" s="224"/>
      <c r="M190" s="193"/>
      <c r="N190" s="223" t="s">
        <v>27</v>
      </c>
      <c r="O190" s="225"/>
      <c r="P190" s="105" t="s">
        <v>126</v>
      </c>
      <c r="Q190" s="105" t="s">
        <v>987</v>
      </c>
      <c r="R190" s="105" t="s">
        <v>10</v>
      </c>
      <c r="S190" s="104" t="s">
        <v>14</v>
      </c>
      <c r="T190" s="103" t="s">
        <v>13</v>
      </c>
      <c r="U190" s="103" t="s">
        <v>12</v>
      </c>
      <c r="V190" s="105" t="s">
        <v>11</v>
      </c>
      <c r="W190" s="226"/>
      <c r="X190" s="226"/>
      <c r="Y190" s="192" t="str">
        <f>_xlfn.LET(_xlpm.v,_xlfn.XLOOKUP(E190,'[1]SME09-01_LHM'!$D:$D,'[1]SME09-01_LHM'!$AL:$AL),IF(_xlpm.v=0,"",_xlpm.v))</f>
        <v/>
      </c>
      <c r="Z190" s="104" t="str">
        <f>_xlfn.LET(_xlpm.v,IF(ISTEXT(Y190),_xlfn.XLOOKUP(Y190,'JP-PINT'!A:A,'JP-PINT'!B:B),""),IF(ISERROR(_xlpm.v),"",_xlpm.v))</f>
        <v/>
      </c>
      <c r="AA190" s="223" t="s">
        <v>24</v>
      </c>
    </row>
    <row r="191" spans="1:27" s="228" customFormat="1" ht="12.75" customHeight="1">
      <c r="A191" s="4">
        <f>IF(ISTEXT(E191),_xlfn.XLOOKUP(E191,'[1]SME09-01_LHM'!$D:$D,'[1]SME09-01_LHM'!$B:$B))</f>
        <v>208</v>
      </c>
      <c r="B191" s="4">
        <f>_xlfn.XLOOKUP(F191,'[1]SME09-01_LHM'!$I:$I,'[1]SME09-01_LHM'!$B:$B)</f>
        <v>270</v>
      </c>
      <c r="C191" s="102">
        <f>ROW()-25</f>
        <v>166</v>
      </c>
      <c r="D191" s="103" t="s">
        <v>1138</v>
      </c>
      <c r="E191" s="103" t="s">
        <v>1452</v>
      </c>
      <c r="F191" s="93" t="s">
        <v>2150</v>
      </c>
      <c r="G191" s="105" t="s">
        <v>1451</v>
      </c>
      <c r="H191" s="103" t="s">
        <v>8</v>
      </c>
      <c r="I191" s="103" t="s">
        <v>19</v>
      </c>
      <c r="J191" s="222" t="s">
        <v>18</v>
      </c>
      <c r="K191" s="224"/>
      <c r="L191" s="224"/>
      <c r="M191" s="193"/>
      <c r="N191" s="229" t="s">
        <v>27</v>
      </c>
      <c r="O191" s="136"/>
      <c r="P191" s="105" t="s">
        <v>126</v>
      </c>
      <c r="Q191" s="105" t="s">
        <v>1450</v>
      </c>
      <c r="R191" s="105" t="s">
        <v>25</v>
      </c>
      <c r="S191" s="104"/>
      <c r="T191" s="106" t="s">
        <v>133</v>
      </c>
      <c r="U191" s="106" t="s">
        <v>24</v>
      </c>
      <c r="V191" s="105" t="s">
        <v>24</v>
      </c>
      <c r="W191" s="107" t="s">
        <v>25</v>
      </c>
      <c r="X191" s="107" t="s">
        <v>25</v>
      </c>
      <c r="Y191" s="192" t="str">
        <f>_xlfn.LET(_xlpm.v,_xlfn.XLOOKUP(E191,'[1]SME09-01_LHM'!$D:$D,'[1]SME09-01_LHM'!$AL:$AL),IF(_xlpm.v=0,"",_xlpm.v))</f>
        <v/>
      </c>
      <c r="Z191" s="104" t="str">
        <f>_xlfn.LET(_xlpm.v,IF(ISTEXT(Y191),_xlfn.XLOOKUP(Y191,'JP-PINT'!A:A,'JP-PINT'!B:B),""),IF(ISERROR(_xlpm.v),"",_xlpm.v))</f>
        <v/>
      </c>
      <c r="AA191" s="229" t="s">
        <v>24</v>
      </c>
    </row>
    <row r="192" spans="1:27" s="134" customFormat="1" ht="12.75" customHeight="1">
      <c r="A192" s="4">
        <f>IF(ISTEXT(E192),_xlfn.XLOOKUP(E192,'[1]SME09-01_LHM'!$D:$D,'[1]SME09-01_LHM'!$B:$B))</f>
        <v>272</v>
      </c>
      <c r="B192" s="4">
        <f>_xlfn.XLOOKUP(F192,'[1]SME09-01_LHM'!$I:$I,'[1]SME09-01_LHM'!$B:$B)</f>
        <v>272</v>
      </c>
      <c r="C192" s="102">
        <f>ROW()-25</f>
        <v>167</v>
      </c>
      <c r="D192" s="153" t="s">
        <v>1138</v>
      </c>
      <c r="E192" s="153" t="s">
        <v>1449</v>
      </c>
      <c r="F192" s="148" t="s">
        <v>1448</v>
      </c>
      <c r="G192" s="148" t="s">
        <v>1447</v>
      </c>
      <c r="H192" s="103" t="s">
        <v>8</v>
      </c>
      <c r="I192" s="153" t="s">
        <v>127</v>
      </c>
      <c r="J192" s="230" t="s">
        <v>66</v>
      </c>
      <c r="K192" s="224"/>
      <c r="L192" s="224"/>
      <c r="M192" s="193"/>
      <c r="N192" s="223"/>
      <c r="O192" s="225"/>
      <c r="P192" s="105" t="s">
        <v>126</v>
      </c>
      <c r="Q192" s="105" t="s">
        <v>1446</v>
      </c>
      <c r="R192" s="105" t="s">
        <v>10</v>
      </c>
      <c r="S192" s="104" t="s">
        <v>1021</v>
      </c>
      <c r="T192" s="106" t="s">
        <v>13</v>
      </c>
      <c r="U192" s="106" t="s">
        <v>1445</v>
      </c>
      <c r="V192" s="150" t="s">
        <v>1444</v>
      </c>
      <c r="W192" s="226" t="s">
        <v>10</v>
      </c>
      <c r="X192" s="226" t="s">
        <v>10</v>
      </c>
      <c r="Y192" s="192" t="str">
        <f>_xlfn.LET(_xlpm.v,_xlfn.XLOOKUP(E192,'[1]SME09-01_LHM'!$D:$D,'[1]SME09-01_LHM'!$AL:$AL),IF(_xlpm.v=0,"",_xlpm.v))</f>
        <v/>
      </c>
      <c r="Z192" s="104" t="str">
        <f>_xlfn.LET(_xlpm.v,IF(ISTEXT(Y192),_xlfn.XLOOKUP(Y192,'JP-PINT'!A:A,'JP-PINT'!B:B),""),IF(ISERROR(_xlpm.v),"",_xlpm.v))</f>
        <v/>
      </c>
      <c r="AA192" s="227"/>
    </row>
    <row r="193" spans="1:27" s="228" customFormat="1" ht="12.75" customHeight="1">
      <c r="A193" s="4">
        <f>IF(ISTEXT(E193),_xlfn.XLOOKUP(E193,'[1]SME09-01_LHM'!$D:$D,'[1]SME09-01_LHM'!$B:$B))</f>
        <v>273</v>
      </c>
      <c r="B193" s="4">
        <f>_xlfn.XLOOKUP(F193,'[1]SME09-01_LHM'!$I:$I,'[1]SME09-01_LHM'!$B:$B)</f>
        <v>273</v>
      </c>
      <c r="C193" s="102">
        <f>ROW()-25</f>
        <v>168</v>
      </c>
      <c r="D193" s="153" t="s">
        <v>1138</v>
      </c>
      <c r="E193" s="153" t="s">
        <v>1443</v>
      </c>
      <c r="F193" s="105" t="s">
        <v>2143</v>
      </c>
      <c r="G193" s="148" t="s">
        <v>1442</v>
      </c>
      <c r="H193" s="103"/>
      <c r="I193" s="153" t="s">
        <v>127</v>
      </c>
      <c r="J193" s="230" t="s">
        <v>66</v>
      </c>
      <c r="K193" s="224"/>
      <c r="L193" s="224"/>
      <c r="M193" s="193"/>
      <c r="N193" s="223"/>
      <c r="O193" s="225"/>
      <c r="P193" s="105" t="s">
        <v>126</v>
      </c>
      <c r="Q193" s="105"/>
      <c r="R193" s="105" t="s">
        <v>430</v>
      </c>
      <c r="S193" s="104"/>
      <c r="T193" s="106" t="s">
        <v>103</v>
      </c>
      <c r="U193" s="106" t="s">
        <v>24</v>
      </c>
      <c r="V193" s="104"/>
      <c r="W193" s="226" t="s">
        <v>429</v>
      </c>
      <c r="X193" s="226" t="s">
        <v>429</v>
      </c>
      <c r="Y193" s="192" t="str">
        <f>_xlfn.LET(_xlpm.v,_xlfn.XLOOKUP(E193,'[1]SME09-01_LHM'!$D:$D,'[1]SME09-01_LHM'!$AL:$AL),IF(_xlpm.v=0,"",_xlpm.v))</f>
        <v/>
      </c>
      <c r="Z193" s="104" t="str">
        <f>_xlfn.LET(_xlpm.v,IF(ISTEXT(Y193),_xlfn.XLOOKUP(Y193,'JP-PINT'!A:A,'JP-PINT'!B:B),""),IF(ISERROR(_xlpm.v),"",_xlpm.v))</f>
        <v/>
      </c>
      <c r="AA193" s="227"/>
    </row>
    <row r="194" spans="1:27" s="228" customFormat="1" ht="12.75" customHeight="1">
      <c r="A194" s="4">
        <f>IF(ISTEXT(E194),_xlfn.XLOOKUP(E194,'[1]SME09-01_LHM'!$D:$D,'[1]SME09-01_LHM'!$B:$B))</f>
        <v>274</v>
      </c>
      <c r="B194" s="4">
        <f>_xlfn.XLOOKUP(F194,'[1]SME09-01_LHM'!$I:$I,'[1]SME09-01_LHM'!$B:$B)</f>
        <v>274</v>
      </c>
      <c r="C194" s="102">
        <f>ROW()-25</f>
        <v>169</v>
      </c>
      <c r="D194" s="221" t="s">
        <v>1138</v>
      </c>
      <c r="E194" s="221" t="s">
        <v>1441</v>
      </c>
      <c r="F194" s="250" t="s">
        <v>2156</v>
      </c>
      <c r="G194" s="217" t="s">
        <v>1440</v>
      </c>
      <c r="H194" s="221" t="s">
        <v>8</v>
      </c>
      <c r="I194" s="221" t="s">
        <v>74</v>
      </c>
      <c r="J194" s="219" t="s">
        <v>18</v>
      </c>
      <c r="K194" s="251"/>
      <c r="L194" s="251"/>
      <c r="M194" s="252"/>
      <c r="N194" s="223" t="s">
        <v>27</v>
      </c>
      <c r="O194" s="225"/>
      <c r="P194" s="217" t="s">
        <v>126</v>
      </c>
      <c r="Q194" s="217" t="s">
        <v>1439</v>
      </c>
      <c r="R194" s="217" t="s">
        <v>25</v>
      </c>
      <c r="S194" s="218"/>
      <c r="T194" s="219" t="s">
        <v>1438</v>
      </c>
      <c r="U194" s="219" t="s">
        <v>24</v>
      </c>
      <c r="V194" s="217" t="s">
        <v>24</v>
      </c>
      <c r="W194" s="226"/>
      <c r="X194" s="226"/>
      <c r="Y194" s="192" t="str">
        <f>_xlfn.LET(_xlpm.v,_xlfn.XLOOKUP(E194,'[1]SME09-01_LHM'!$D:$D,'[1]SME09-01_LHM'!$AL:$AL),IF(_xlpm.v=0,"",_xlpm.v))</f>
        <v/>
      </c>
      <c r="Z194" s="104" t="str">
        <f>_xlfn.LET(_xlpm.v,IF(ISTEXT(Y194),_xlfn.XLOOKUP(Y194,'JP-PINT'!A:A,'JP-PINT'!B:B),""),IF(ISERROR(_xlpm.v),"",_xlpm.v))</f>
        <v/>
      </c>
      <c r="AA194" s="223" t="s">
        <v>24</v>
      </c>
    </row>
    <row r="195" spans="1:27" s="228" customFormat="1" ht="12.75" customHeight="1">
      <c r="A195" s="4">
        <f>IF(ISTEXT(E195),_xlfn.XLOOKUP(E195,'[1]SME09-01_LHM'!$D:$D,'[1]SME09-01_LHM'!$B:$B))</f>
        <v>276</v>
      </c>
      <c r="B195" s="4">
        <f>_xlfn.XLOOKUP(F195,'[1]SME09-01_LHM'!$I:$I,'[1]SME09-01_LHM'!$B:$B)</f>
        <v>276</v>
      </c>
      <c r="C195" s="102">
        <f>ROW()-25</f>
        <v>170</v>
      </c>
      <c r="D195" s="221" t="s">
        <v>1138</v>
      </c>
      <c r="E195" s="221" t="s">
        <v>1437</v>
      </c>
      <c r="F195" s="217" t="s">
        <v>2157</v>
      </c>
      <c r="G195" s="218" t="s">
        <v>1436</v>
      </c>
      <c r="H195" s="221" t="s">
        <v>8</v>
      </c>
      <c r="I195" s="103" t="s">
        <v>479</v>
      </c>
      <c r="J195" s="219" t="s">
        <v>18</v>
      </c>
      <c r="K195" s="251"/>
      <c r="L195" s="251"/>
      <c r="M195" s="252"/>
      <c r="N195" s="223" t="s">
        <v>27</v>
      </c>
      <c r="O195" s="225"/>
      <c r="P195" s="217" t="s">
        <v>126</v>
      </c>
      <c r="Q195" s="217" t="s">
        <v>1426</v>
      </c>
      <c r="R195" s="217" t="s">
        <v>10</v>
      </c>
      <c r="S195" s="218"/>
      <c r="T195" s="219"/>
      <c r="U195" s="219" t="s">
        <v>24</v>
      </c>
      <c r="V195" s="217" t="s">
        <v>24</v>
      </c>
      <c r="W195" s="226"/>
      <c r="X195" s="226"/>
      <c r="Y195" s="192" t="str">
        <f>_xlfn.LET(_xlpm.v,_xlfn.XLOOKUP(E195,'[1]SME09-01_LHM'!$D:$D,'[1]SME09-01_LHM'!$AL:$AL),IF(_xlpm.v=0,"",_xlpm.v))</f>
        <v/>
      </c>
      <c r="Z195" s="104" t="str">
        <f>_xlfn.LET(_xlpm.v,IF(ISTEXT(Y195),_xlfn.XLOOKUP(Y195,'JP-PINT'!A:A,'JP-PINT'!B:B),""),IF(ISERROR(_xlpm.v),"",_xlpm.v))</f>
        <v/>
      </c>
      <c r="AA195" s="223" t="s">
        <v>24</v>
      </c>
    </row>
    <row r="196" spans="1:27" s="228" customFormat="1" ht="12.75" customHeight="1">
      <c r="A196" s="4">
        <f>IF(ISTEXT(E196),_xlfn.XLOOKUP(E196,'[1]SME09-01_LHM'!$D:$D,'[1]SME09-01_LHM'!$B:$B))</f>
        <v>277</v>
      </c>
      <c r="B196" s="4">
        <f>_xlfn.XLOOKUP(F196,'[1]SME09-01_LHM'!$I:$I,'[1]SME09-01_LHM'!$B:$B)</f>
        <v>277</v>
      </c>
      <c r="C196" s="102">
        <f>ROW()-25</f>
        <v>171</v>
      </c>
      <c r="D196" s="221" t="s">
        <v>1138</v>
      </c>
      <c r="E196" s="221" t="s">
        <v>1435</v>
      </c>
      <c r="F196" s="217" t="s">
        <v>2158</v>
      </c>
      <c r="G196" s="218" t="s">
        <v>1434</v>
      </c>
      <c r="H196" s="221" t="s">
        <v>8</v>
      </c>
      <c r="I196" s="103" t="s">
        <v>479</v>
      </c>
      <c r="J196" s="219" t="s">
        <v>18</v>
      </c>
      <c r="K196" s="251"/>
      <c r="L196" s="251"/>
      <c r="M196" s="252"/>
      <c r="N196" s="223" t="s">
        <v>27</v>
      </c>
      <c r="O196" s="225"/>
      <c r="P196" s="217" t="s">
        <v>126</v>
      </c>
      <c r="Q196" s="217" t="s">
        <v>1423</v>
      </c>
      <c r="R196" s="217" t="s">
        <v>10</v>
      </c>
      <c r="S196" s="218"/>
      <c r="T196" s="219"/>
      <c r="U196" s="219" t="s">
        <v>24</v>
      </c>
      <c r="V196" s="217" t="s">
        <v>24</v>
      </c>
      <c r="W196" s="226"/>
      <c r="X196" s="226"/>
      <c r="Y196" s="192" t="str">
        <f>_xlfn.LET(_xlpm.v,_xlfn.XLOOKUP(E196,'[1]SME09-01_LHM'!$D:$D,'[1]SME09-01_LHM'!$AL:$AL),IF(_xlpm.v=0,"",_xlpm.v))</f>
        <v/>
      </c>
      <c r="Z196" s="104" t="str">
        <f>_xlfn.LET(_xlpm.v,IF(ISTEXT(Y196),_xlfn.XLOOKUP(Y196,'JP-PINT'!A:A,'JP-PINT'!B:B),""),IF(ISERROR(_xlpm.v),"",_xlpm.v))</f>
        <v/>
      </c>
      <c r="AA196" s="223" t="s">
        <v>24</v>
      </c>
    </row>
    <row r="197" spans="1:27" s="228" customFormat="1" ht="12.75" customHeight="1">
      <c r="A197" s="4">
        <f>IF(ISTEXT(E197),_xlfn.XLOOKUP(E197,'[1]SME09-01_LHM'!$D:$D,'[1]SME09-01_LHM'!$B:$B))</f>
        <v>278</v>
      </c>
      <c r="B197" s="4">
        <f>_xlfn.XLOOKUP(F197,'[1]SME09-01_LHM'!$I:$I,'[1]SME09-01_LHM'!$B:$B)</f>
        <v>278</v>
      </c>
      <c r="C197" s="102">
        <f>ROW()-25</f>
        <v>172</v>
      </c>
      <c r="D197" s="221" t="s">
        <v>1138</v>
      </c>
      <c r="E197" s="221" t="s">
        <v>1433</v>
      </c>
      <c r="F197" s="217" t="s">
        <v>2159</v>
      </c>
      <c r="G197" s="217" t="s">
        <v>1421</v>
      </c>
      <c r="H197" s="221" t="s">
        <v>8</v>
      </c>
      <c r="I197" s="103" t="s">
        <v>479</v>
      </c>
      <c r="J197" s="219" t="s">
        <v>18</v>
      </c>
      <c r="K197" s="251"/>
      <c r="L197" s="251"/>
      <c r="M197" s="252"/>
      <c r="N197" s="223" t="s">
        <v>27</v>
      </c>
      <c r="O197" s="225"/>
      <c r="P197" s="217" t="s">
        <v>126</v>
      </c>
      <c r="Q197" s="217" t="s">
        <v>1420</v>
      </c>
      <c r="R197" s="217" t="s">
        <v>10</v>
      </c>
      <c r="S197" s="218"/>
      <c r="T197" s="219"/>
      <c r="U197" s="219" t="s">
        <v>24</v>
      </c>
      <c r="V197" s="217" t="s">
        <v>24</v>
      </c>
      <c r="W197" s="226"/>
      <c r="X197" s="226"/>
      <c r="Y197" s="192" t="str">
        <f>_xlfn.LET(_xlpm.v,_xlfn.XLOOKUP(E197,'[1]SME09-01_LHM'!$D:$D,'[1]SME09-01_LHM'!$AL:$AL),IF(_xlpm.v=0,"",_xlpm.v))</f>
        <v/>
      </c>
      <c r="Z197" s="104" t="str">
        <f>_xlfn.LET(_xlpm.v,IF(ISTEXT(Y197),_xlfn.XLOOKUP(Y197,'JP-PINT'!A:A,'JP-PINT'!B:B),""),IF(ISERROR(_xlpm.v),"",_xlpm.v))</f>
        <v/>
      </c>
      <c r="AA197" s="223" t="s">
        <v>24</v>
      </c>
    </row>
    <row r="198" spans="1:27" s="228" customFormat="1" ht="12.75" customHeight="1">
      <c r="A198" s="4">
        <f>IF(ISTEXT(E198),_xlfn.XLOOKUP(E198,'[1]SME09-01_LHM'!$D:$D,'[1]SME09-01_LHM'!$B:$B))</f>
        <v>279</v>
      </c>
      <c r="B198" s="4">
        <f>_xlfn.XLOOKUP(F198,'[1]SME09-01_LHM'!$I:$I,'[1]SME09-01_LHM'!$B:$B)</f>
        <v>279</v>
      </c>
      <c r="C198" s="102">
        <f>ROW()-25</f>
        <v>173</v>
      </c>
      <c r="D198" s="221" t="s">
        <v>1138</v>
      </c>
      <c r="E198" s="221" t="s">
        <v>1432</v>
      </c>
      <c r="F198" s="217" t="s">
        <v>2160</v>
      </c>
      <c r="G198" s="217" t="s">
        <v>1418</v>
      </c>
      <c r="H198" s="221" t="s">
        <v>8</v>
      </c>
      <c r="I198" s="103" t="s">
        <v>74</v>
      </c>
      <c r="J198" s="219" t="s">
        <v>18</v>
      </c>
      <c r="K198" s="251"/>
      <c r="L198" s="251"/>
      <c r="M198" s="252"/>
      <c r="N198" s="223" t="s">
        <v>27</v>
      </c>
      <c r="O198" s="225"/>
      <c r="P198" s="217" t="s">
        <v>126</v>
      </c>
      <c r="Q198" s="217" t="s">
        <v>1417</v>
      </c>
      <c r="R198" s="217" t="s">
        <v>10</v>
      </c>
      <c r="S198" s="218"/>
      <c r="T198" s="221"/>
      <c r="U198" s="221" t="s">
        <v>24</v>
      </c>
      <c r="V198" s="217" t="s">
        <v>24</v>
      </c>
      <c r="W198" s="226"/>
      <c r="X198" s="226"/>
      <c r="Y198" s="192" t="str">
        <f>_xlfn.LET(_xlpm.v,_xlfn.XLOOKUP(E198,'[1]SME09-01_LHM'!$D:$D,'[1]SME09-01_LHM'!$AL:$AL),IF(_xlpm.v=0,"",_xlpm.v))</f>
        <v/>
      </c>
      <c r="Z198" s="104" t="str">
        <f>_xlfn.LET(_xlpm.v,IF(ISTEXT(Y198),_xlfn.XLOOKUP(Y198,'JP-PINT'!A:A,'JP-PINT'!B:B),""),IF(ISERROR(_xlpm.v),"",_xlpm.v))</f>
        <v/>
      </c>
      <c r="AA198" s="223" t="s">
        <v>24</v>
      </c>
    </row>
    <row r="199" spans="1:27" s="228" customFormat="1" ht="12.75" customHeight="1">
      <c r="A199" s="4">
        <f>IF(ISTEXT(E199),_xlfn.XLOOKUP(E199,'[1]SME09-01_LHM'!$D:$D,'[1]SME09-01_LHM'!$B:$B))</f>
        <v>280</v>
      </c>
      <c r="B199" s="4">
        <f>_xlfn.XLOOKUP(F199,'[1]SME09-01_LHM'!$I:$I,'[1]SME09-01_LHM'!$B:$B)</f>
        <v>280</v>
      </c>
      <c r="C199" s="102">
        <f>ROW()-25</f>
        <v>174</v>
      </c>
      <c r="D199" s="221" t="s">
        <v>1138</v>
      </c>
      <c r="E199" s="221" t="s">
        <v>1431</v>
      </c>
      <c r="F199" s="250" t="s">
        <v>2165</v>
      </c>
      <c r="G199" s="217" t="s">
        <v>1430</v>
      </c>
      <c r="H199" s="221" t="s">
        <v>8</v>
      </c>
      <c r="I199" s="103" t="s">
        <v>340</v>
      </c>
      <c r="J199" s="219" t="s">
        <v>18</v>
      </c>
      <c r="K199" s="224"/>
      <c r="L199" s="224"/>
      <c r="M199" s="252"/>
      <c r="N199" s="223" t="s">
        <v>27</v>
      </c>
      <c r="O199" s="225"/>
      <c r="P199" s="217" t="s">
        <v>126</v>
      </c>
      <c r="Q199" s="217" t="s">
        <v>1429</v>
      </c>
      <c r="R199" s="217" t="s">
        <v>25</v>
      </c>
      <c r="S199" s="218"/>
      <c r="T199" s="219"/>
      <c r="U199" s="219" t="s">
        <v>24</v>
      </c>
      <c r="V199" s="217" t="s">
        <v>24</v>
      </c>
      <c r="W199" s="226"/>
      <c r="X199" s="226"/>
      <c r="Y199" s="192" t="str">
        <f>_xlfn.LET(_xlpm.v,_xlfn.XLOOKUP(E199,'[1]SME09-01_LHM'!$D:$D,'[1]SME09-01_LHM'!$AL:$AL),IF(_xlpm.v=0,"",_xlpm.v))</f>
        <v/>
      </c>
      <c r="Z199" s="104" t="str">
        <f>_xlfn.LET(_xlpm.v,IF(ISTEXT(Y199),_xlfn.XLOOKUP(Y199,'JP-PINT'!A:A,'JP-PINT'!B:B),""),IF(ISERROR(_xlpm.v),"",_xlpm.v))</f>
        <v/>
      </c>
      <c r="AA199" s="223" t="s">
        <v>24</v>
      </c>
    </row>
    <row r="200" spans="1:27" s="228" customFormat="1" ht="12.75" customHeight="1">
      <c r="A200" s="4" t="e">
        <f>IF(ISTEXT(E200),_xlfn.XLOOKUP(E200,'[1]SME09-01_LHM'!$D:$D,'[1]SME09-01_LHM'!$B:$B))</f>
        <v>#N/A</v>
      </c>
      <c r="B200" s="4" t="e">
        <f>_xlfn.XLOOKUP(F200,'[1]SME09-01_LHM'!$I:$I,'[1]SME09-01_LHM'!$B:$B)</f>
        <v>#N/A</v>
      </c>
      <c r="C200" s="102">
        <f>ROW()-25</f>
        <v>175</v>
      </c>
      <c r="D200" s="221" t="s">
        <v>1138</v>
      </c>
      <c r="E200" s="221" t="s">
        <v>1428</v>
      </c>
      <c r="F200" s="217" t="s">
        <v>2161</v>
      </c>
      <c r="G200" s="218" t="s">
        <v>1427</v>
      </c>
      <c r="H200" s="221" t="s">
        <v>8</v>
      </c>
      <c r="I200" s="103" t="s">
        <v>143</v>
      </c>
      <c r="J200" s="219" t="s">
        <v>18</v>
      </c>
      <c r="K200" s="251"/>
      <c r="L200" s="251"/>
      <c r="M200" s="252"/>
      <c r="N200" s="223" t="s">
        <v>27</v>
      </c>
      <c r="O200" s="225"/>
      <c r="P200" s="217" t="s">
        <v>126</v>
      </c>
      <c r="Q200" s="217" t="s">
        <v>1426</v>
      </c>
      <c r="R200" s="217" t="s">
        <v>10</v>
      </c>
      <c r="S200" s="218"/>
      <c r="T200" s="219"/>
      <c r="U200" s="219" t="s">
        <v>24</v>
      </c>
      <c r="V200" s="217" t="s">
        <v>24</v>
      </c>
      <c r="W200" s="226"/>
      <c r="X200" s="226"/>
      <c r="Y200" s="192" t="e">
        <f>_xlfn.LET(_xlpm.v,_xlfn.XLOOKUP(E200,'[1]SME09-01_LHM'!$D:$D,'[1]SME09-01_LHM'!$AL:$AL),IF(_xlpm.v=0,"",_xlpm.v))</f>
        <v>#N/A</v>
      </c>
      <c r="Z200" s="104" t="str">
        <f>_xlfn.LET(_xlpm.v,IF(ISTEXT(Y200),_xlfn.XLOOKUP(Y200,'JP-PINT'!A:A,'JP-PINT'!B:B),""),IF(ISERROR(_xlpm.v),"",_xlpm.v))</f>
        <v/>
      </c>
      <c r="AA200" s="223" t="s">
        <v>24</v>
      </c>
    </row>
    <row r="201" spans="1:27" s="228" customFormat="1" ht="12.75" customHeight="1">
      <c r="A201" s="4">
        <f>IF(ISTEXT(E201),_xlfn.XLOOKUP(E201,'[1]SME09-01_LHM'!$D:$D,'[1]SME09-01_LHM'!$B:$B))</f>
        <v>283</v>
      </c>
      <c r="B201" s="4">
        <f>_xlfn.XLOOKUP(F201,'[1]SME09-01_LHM'!$I:$I,'[1]SME09-01_LHM'!$B:$B)</f>
        <v>283</v>
      </c>
      <c r="C201" s="102">
        <f>ROW()-25</f>
        <v>176</v>
      </c>
      <c r="D201" s="221" t="s">
        <v>1138</v>
      </c>
      <c r="E201" s="221" t="s">
        <v>1425</v>
      </c>
      <c r="F201" s="217" t="s">
        <v>2162</v>
      </c>
      <c r="G201" s="218" t="s">
        <v>1424</v>
      </c>
      <c r="H201" s="221" t="s">
        <v>8</v>
      </c>
      <c r="I201" s="103" t="s">
        <v>143</v>
      </c>
      <c r="J201" s="219" t="s">
        <v>18</v>
      </c>
      <c r="K201" s="251"/>
      <c r="L201" s="251"/>
      <c r="M201" s="252"/>
      <c r="N201" s="223" t="s">
        <v>27</v>
      </c>
      <c r="O201" s="136"/>
      <c r="P201" s="217" t="s">
        <v>126</v>
      </c>
      <c r="Q201" s="217" t="s">
        <v>1423</v>
      </c>
      <c r="R201" s="217" t="s">
        <v>10</v>
      </c>
      <c r="S201" s="218"/>
      <c r="T201" s="219"/>
      <c r="U201" s="219" t="s">
        <v>24</v>
      </c>
      <c r="V201" s="217" t="s">
        <v>24</v>
      </c>
      <c r="W201" s="107"/>
      <c r="X201" s="107"/>
      <c r="Y201" s="192" t="str">
        <f>_xlfn.LET(_xlpm.v,_xlfn.XLOOKUP(E201,'[1]SME09-01_LHM'!$D:$D,'[1]SME09-01_LHM'!$AL:$AL),IF(_xlpm.v=0,"",_xlpm.v))</f>
        <v/>
      </c>
      <c r="Z201" s="104" t="str">
        <f>_xlfn.LET(_xlpm.v,IF(ISTEXT(Y201),_xlfn.XLOOKUP(Y201,'JP-PINT'!A:A,'JP-PINT'!B:B),""),IF(ISERROR(_xlpm.v),"",_xlpm.v))</f>
        <v/>
      </c>
      <c r="AA201" s="223" t="s">
        <v>24</v>
      </c>
    </row>
    <row r="202" spans="1:27" s="134" customFormat="1" ht="12.75" customHeight="1">
      <c r="A202" s="4">
        <f>IF(ISTEXT(E202),_xlfn.XLOOKUP(E202,'[1]SME09-01_LHM'!$D:$D,'[1]SME09-01_LHM'!$B:$B))</f>
        <v>284</v>
      </c>
      <c r="B202" s="4">
        <f>_xlfn.XLOOKUP(F202,'[1]SME09-01_LHM'!$I:$I,'[1]SME09-01_LHM'!$B:$B)</f>
        <v>284</v>
      </c>
      <c r="C202" s="102">
        <f>ROW()-25</f>
        <v>177</v>
      </c>
      <c r="D202" s="221" t="s">
        <v>1138</v>
      </c>
      <c r="E202" s="221" t="s">
        <v>1422</v>
      </c>
      <c r="F202" s="217" t="s">
        <v>2163</v>
      </c>
      <c r="G202" s="217" t="s">
        <v>1421</v>
      </c>
      <c r="H202" s="221" t="s">
        <v>8</v>
      </c>
      <c r="I202" s="103" t="s">
        <v>143</v>
      </c>
      <c r="J202" s="219" t="s">
        <v>18</v>
      </c>
      <c r="K202" s="251"/>
      <c r="L202" s="251"/>
      <c r="M202" s="252"/>
      <c r="N202" s="223" t="s">
        <v>27</v>
      </c>
      <c r="O202" s="136"/>
      <c r="P202" s="217" t="s">
        <v>126</v>
      </c>
      <c r="Q202" s="217" t="s">
        <v>1420</v>
      </c>
      <c r="R202" s="217" t="s">
        <v>10</v>
      </c>
      <c r="S202" s="218"/>
      <c r="T202" s="219"/>
      <c r="U202" s="219" t="s">
        <v>24</v>
      </c>
      <c r="V202" s="217" t="s">
        <v>24</v>
      </c>
      <c r="W202" s="107"/>
      <c r="X202" s="107"/>
      <c r="Y202" s="192" t="str">
        <f>_xlfn.LET(_xlpm.v,_xlfn.XLOOKUP(E202,'[1]SME09-01_LHM'!$D:$D,'[1]SME09-01_LHM'!$AL:$AL),IF(_xlpm.v=0,"",_xlpm.v))</f>
        <v/>
      </c>
      <c r="Z202" s="104" t="str">
        <f>_xlfn.LET(_xlpm.v,IF(ISTEXT(Y202),_xlfn.XLOOKUP(Y202,'JP-PINT'!A:A,'JP-PINT'!B:B),""),IF(ISERROR(_xlpm.v),"",_xlpm.v))</f>
        <v/>
      </c>
      <c r="AA202" s="223" t="s">
        <v>24</v>
      </c>
    </row>
    <row r="203" spans="1:27" s="134" customFormat="1" ht="12.75" customHeight="1">
      <c r="A203" s="4">
        <f>IF(ISTEXT(E203),_xlfn.XLOOKUP(E203,'[1]SME09-01_LHM'!$D:$D,'[1]SME09-01_LHM'!$B:$B))</f>
        <v>285</v>
      </c>
      <c r="B203" s="4">
        <f>_xlfn.XLOOKUP(F203,'[1]SME09-01_LHM'!$I:$I,'[1]SME09-01_LHM'!$B:$B)</f>
        <v>285</v>
      </c>
      <c r="C203" s="102">
        <f>ROW()-25</f>
        <v>178</v>
      </c>
      <c r="D203" s="221" t="s">
        <v>1138</v>
      </c>
      <c r="E203" s="221" t="s">
        <v>1419</v>
      </c>
      <c r="F203" s="217" t="s">
        <v>2164</v>
      </c>
      <c r="G203" s="217" t="s">
        <v>1418</v>
      </c>
      <c r="H203" s="221" t="s">
        <v>8</v>
      </c>
      <c r="I203" s="103" t="s">
        <v>143</v>
      </c>
      <c r="J203" s="219" t="s">
        <v>18</v>
      </c>
      <c r="K203" s="251"/>
      <c r="L203" s="251"/>
      <c r="M203" s="252"/>
      <c r="N203" s="223" t="s">
        <v>24</v>
      </c>
      <c r="O203" s="136"/>
      <c r="P203" s="217" t="s">
        <v>126</v>
      </c>
      <c r="Q203" s="217" t="s">
        <v>1417</v>
      </c>
      <c r="R203" s="217" t="s">
        <v>10</v>
      </c>
      <c r="S203" s="218"/>
      <c r="T203" s="219"/>
      <c r="U203" s="219" t="s">
        <v>24</v>
      </c>
      <c r="V203" s="217" t="s">
        <v>24</v>
      </c>
      <c r="W203" s="107"/>
      <c r="X203" s="107"/>
      <c r="Y203" s="192" t="str">
        <f>_xlfn.LET(_xlpm.v,_xlfn.XLOOKUP(E203,'[1]SME09-01_LHM'!$D:$D,'[1]SME09-01_LHM'!$AL:$AL),IF(_xlpm.v=0,"",_xlpm.v))</f>
        <v/>
      </c>
      <c r="Z203" s="104" t="str">
        <f>_xlfn.LET(_xlpm.v,IF(ISTEXT(Y203),_xlfn.XLOOKUP(Y203,'JP-PINT'!A:A,'JP-PINT'!B:B),""),IF(ISERROR(_xlpm.v),"",_xlpm.v))</f>
        <v/>
      </c>
      <c r="AA203" s="223" t="s">
        <v>24</v>
      </c>
    </row>
    <row r="204" spans="1:27" s="134" customFormat="1" ht="12.75" customHeight="1">
      <c r="A204" s="4">
        <f>IF(ISTEXT(E204),_xlfn.XLOOKUP(E204,'[1]SME09-01_LHM'!$D:$D,'[1]SME09-01_LHM'!$B:$B))</f>
        <v>286</v>
      </c>
      <c r="B204" s="4">
        <f>_xlfn.XLOOKUP(F204,'[1]SME09-01_LHM'!$I:$I,'[1]SME09-01_LHM'!$B:$B)</f>
        <v>286</v>
      </c>
      <c r="C204" s="102">
        <f>ROW()-25</f>
        <v>179</v>
      </c>
      <c r="D204" s="103" t="s">
        <v>1138</v>
      </c>
      <c r="E204" s="103" t="s">
        <v>1416</v>
      </c>
      <c r="F204" s="93" t="s">
        <v>2166</v>
      </c>
      <c r="G204" s="105" t="s">
        <v>1415</v>
      </c>
      <c r="H204" s="103" t="s">
        <v>43</v>
      </c>
      <c r="I204" s="103" t="s">
        <v>143</v>
      </c>
      <c r="J204" s="222" t="s">
        <v>18</v>
      </c>
      <c r="K204" s="222" t="s">
        <v>18</v>
      </c>
      <c r="L204" s="222" t="s">
        <v>18</v>
      </c>
      <c r="M204" s="193"/>
      <c r="N204" s="223" t="s">
        <v>72</v>
      </c>
      <c r="O204" s="136"/>
      <c r="P204" s="105" t="s">
        <v>126</v>
      </c>
      <c r="Q204" s="104" t="s">
        <v>1414</v>
      </c>
      <c r="R204" s="105" t="s">
        <v>25</v>
      </c>
      <c r="S204" s="104"/>
      <c r="T204" s="106" t="s">
        <v>1175</v>
      </c>
      <c r="U204" s="106" t="s">
        <v>24</v>
      </c>
      <c r="V204" s="105" t="s">
        <v>24</v>
      </c>
      <c r="W204" s="107" t="s">
        <v>25</v>
      </c>
      <c r="X204" s="107" t="s">
        <v>25</v>
      </c>
      <c r="Y204" s="192" t="str">
        <f>_xlfn.LET(_xlpm.v,_xlfn.XLOOKUP(E204,'[1]SME09-01_LHM'!$D:$D,'[1]SME09-01_LHM'!$AL:$AL),IF(_xlpm.v=0,"",_xlpm.v))</f>
        <v>IBG-16</v>
      </c>
      <c r="Z204" s="104" t="str">
        <f>_xlfn.LET(_xlpm.v,IF(ISTEXT(Y204),_xlfn.XLOOKUP(Y204,'JP-PINT'!A:A,'JP-PINT'!B:B),""),IF(ISERROR(_xlpm.v),"",_xlpm.v))</f>
        <v>PAYMENT INSTRUCTIONS</v>
      </c>
      <c r="AA204" s="103" t="s">
        <v>43</v>
      </c>
    </row>
    <row r="205" spans="1:27" s="134" customFormat="1" ht="12.75" customHeight="1">
      <c r="A205" s="4">
        <f>IF(ISTEXT(E205),_xlfn.XLOOKUP(E205,'[1]SME09-01_LHM'!$D:$D,'[1]SME09-01_LHM'!$B:$B))</f>
        <v>288</v>
      </c>
      <c r="B205" s="4">
        <f>_xlfn.XLOOKUP(F205,'[1]SME09-01_LHM'!$I:$I,'[1]SME09-01_LHM'!$B:$B)</f>
        <v>288</v>
      </c>
      <c r="C205" s="102">
        <f>ROW()-25</f>
        <v>180</v>
      </c>
      <c r="D205" s="103" t="s">
        <v>1138</v>
      </c>
      <c r="E205" s="103" t="s">
        <v>1412</v>
      </c>
      <c r="F205" s="105" t="s">
        <v>1411</v>
      </c>
      <c r="G205" s="105" t="s">
        <v>1410</v>
      </c>
      <c r="H205" s="103" t="s">
        <v>8</v>
      </c>
      <c r="I205" s="103" t="s">
        <v>143</v>
      </c>
      <c r="J205" s="222" t="s">
        <v>18</v>
      </c>
      <c r="K205" s="223" t="s">
        <v>18</v>
      </c>
      <c r="L205" s="223" t="s">
        <v>18</v>
      </c>
      <c r="M205" s="193" t="s">
        <v>73</v>
      </c>
      <c r="N205" s="223" t="s">
        <v>183</v>
      </c>
      <c r="O205" s="136"/>
      <c r="P205" s="105" t="s">
        <v>126</v>
      </c>
      <c r="Q205" s="104" t="s">
        <v>1409</v>
      </c>
      <c r="R205" s="105" t="s">
        <v>10</v>
      </c>
      <c r="S205" s="104" t="s">
        <v>1408</v>
      </c>
      <c r="T205" s="106" t="s">
        <v>158</v>
      </c>
      <c r="U205" s="106" t="s">
        <v>24</v>
      </c>
      <c r="V205" s="105" t="s">
        <v>24</v>
      </c>
      <c r="W205" s="107" t="s">
        <v>10</v>
      </c>
      <c r="X205" s="107" t="s">
        <v>10</v>
      </c>
      <c r="Y205" s="192" t="str">
        <f>_xlfn.LET(_xlpm.v,_xlfn.XLOOKUP(E205,'[1]SME09-01_LHM'!$D:$D,'[1]SME09-01_LHM'!$AL:$AL),IF(_xlpm.v=0,"",_xlpm.v))</f>
        <v>IBT-081</v>
      </c>
      <c r="Z205" s="104" t="str">
        <f>_xlfn.LET(_xlpm.v,IF(ISTEXT(Y205),_xlfn.XLOOKUP(Y205,'JP-PINT'!A:A,'JP-PINT'!B:B),""),IF(ISERROR(_xlpm.v),"",_xlpm.v))</f>
        <v>&gt; Payment means type code</v>
      </c>
      <c r="AA205" s="103" t="s">
        <v>31</v>
      </c>
    </row>
    <row r="206" spans="1:27" s="134" customFormat="1" ht="12.75" customHeight="1">
      <c r="A206" s="4">
        <f>IF(ISTEXT(E206),_xlfn.XLOOKUP(E206,'[1]SME09-01_LHM'!$D:$D,'[1]SME09-01_LHM'!$B:$B))</f>
        <v>289</v>
      </c>
      <c r="B206" s="4">
        <f>_xlfn.XLOOKUP(F206,'[1]SME09-01_LHM'!$I:$I,'[1]SME09-01_LHM'!$B:$B)</f>
        <v>289</v>
      </c>
      <c r="C206" s="102">
        <f>ROW()-25</f>
        <v>181</v>
      </c>
      <c r="D206" s="103" t="s">
        <v>1138</v>
      </c>
      <c r="E206" s="103" t="s">
        <v>1406</v>
      </c>
      <c r="F206" s="105" t="s">
        <v>1405</v>
      </c>
      <c r="G206" s="105" t="s">
        <v>1404</v>
      </c>
      <c r="H206" s="103" t="s">
        <v>8</v>
      </c>
      <c r="I206" s="103" t="s">
        <v>143</v>
      </c>
      <c r="J206" s="222" t="s">
        <v>18</v>
      </c>
      <c r="K206" s="223" t="s">
        <v>18</v>
      </c>
      <c r="L206" s="223" t="s">
        <v>18</v>
      </c>
      <c r="M206" s="193" t="s">
        <v>73</v>
      </c>
      <c r="N206" s="223" t="s">
        <v>46</v>
      </c>
      <c r="O206" s="136"/>
      <c r="P206" s="105" t="s">
        <v>126</v>
      </c>
      <c r="Q206" s="104" t="s">
        <v>1403</v>
      </c>
      <c r="R206" s="105" t="s">
        <v>10</v>
      </c>
      <c r="S206" s="104"/>
      <c r="T206" s="106"/>
      <c r="U206" s="106" t="s">
        <v>24</v>
      </c>
      <c r="V206" s="105" t="s">
        <v>24</v>
      </c>
      <c r="W206" s="107" t="s">
        <v>10</v>
      </c>
      <c r="X206" s="107" t="s">
        <v>10</v>
      </c>
      <c r="Y206" s="192" t="str">
        <f>_xlfn.LET(_xlpm.v,_xlfn.XLOOKUP(E206,'[1]SME09-01_LHM'!$D:$D,'[1]SME09-01_LHM'!$AL:$AL),IF(_xlpm.v=0,"",_xlpm.v))</f>
        <v>IBT-082</v>
      </c>
      <c r="Z206" s="104" t="str">
        <f>_xlfn.LET(_xlpm.v,IF(ISTEXT(Y206),_xlfn.XLOOKUP(Y206,'JP-PINT'!A:A,'JP-PINT'!B:B),""),IF(ISERROR(_xlpm.v),"",_xlpm.v))</f>
        <v>&gt; Payment means text</v>
      </c>
      <c r="AA206" s="223" t="s">
        <v>8</v>
      </c>
    </row>
    <row r="207" spans="1:27" s="134" customFormat="1" ht="12.75" customHeight="1">
      <c r="A207" s="4">
        <f>IF(ISTEXT(E207),_xlfn.XLOOKUP(E207,'[1]SME09-01_LHM'!$D:$D,'[1]SME09-01_LHM'!$B:$B))</f>
        <v>290</v>
      </c>
      <c r="B207" s="4">
        <f>_xlfn.XLOOKUP(F207,'[1]SME09-01_LHM'!$I:$I,'[1]SME09-01_LHM'!$B:$B)</f>
        <v>290</v>
      </c>
      <c r="C207" s="102">
        <f>ROW()-25</f>
        <v>182</v>
      </c>
      <c r="D207" s="103" t="s">
        <v>1138</v>
      </c>
      <c r="E207" s="103" t="s">
        <v>1401</v>
      </c>
      <c r="F207" s="105" t="s">
        <v>1400</v>
      </c>
      <c r="G207" s="105" t="s">
        <v>1399</v>
      </c>
      <c r="H207" s="103" t="s">
        <v>8</v>
      </c>
      <c r="I207" s="103" t="s">
        <v>1398</v>
      </c>
      <c r="J207" s="222" t="s">
        <v>18</v>
      </c>
      <c r="K207" s="223" t="s">
        <v>18</v>
      </c>
      <c r="L207" s="223" t="s">
        <v>18</v>
      </c>
      <c r="M207" s="193"/>
      <c r="N207" s="223" t="s">
        <v>27</v>
      </c>
      <c r="O207" s="136"/>
      <c r="P207" s="105" t="s">
        <v>126</v>
      </c>
      <c r="Q207" s="104" t="s">
        <v>1397</v>
      </c>
      <c r="R207" s="105" t="s">
        <v>10</v>
      </c>
      <c r="S207" s="104"/>
      <c r="T207" s="106"/>
      <c r="U207" s="106" t="s">
        <v>24</v>
      </c>
      <c r="V207" s="105" t="s">
        <v>24</v>
      </c>
      <c r="W207" s="107" t="s">
        <v>10</v>
      </c>
      <c r="X207" s="107" t="s">
        <v>10</v>
      </c>
      <c r="Y207" s="192" t="str">
        <f>_xlfn.LET(_xlpm.v,_xlfn.XLOOKUP(E207,'[1]SME09-01_LHM'!$D:$D,'[1]SME09-01_LHM'!$AL:$AL),IF(_xlpm.v=0,"",_xlpm.v))</f>
        <v/>
      </c>
      <c r="Z207" s="104" t="str">
        <f>_xlfn.LET(_xlpm.v,IF(ISTEXT(Y207),_xlfn.XLOOKUP(Y207,'JP-PINT'!A:A,'JP-PINT'!B:B),""),IF(ISERROR(_xlpm.v),"",_xlpm.v))</f>
        <v/>
      </c>
      <c r="AA207" s="223" t="s">
        <v>24</v>
      </c>
    </row>
    <row r="208" spans="1:27" s="134" customFormat="1" ht="12.75" customHeight="1">
      <c r="A208" s="4">
        <f>IF(ISTEXT(E208),_xlfn.XLOOKUP(E208,'[1]SME09-01_LHM'!$D:$D,'[1]SME09-01_LHM'!$B:$B))</f>
        <v>291</v>
      </c>
      <c r="B208" s="4">
        <f>_xlfn.XLOOKUP(F208,'[1]SME09-01_LHM'!$I:$I,'[1]SME09-01_LHM'!$B:$B)</f>
        <v>291</v>
      </c>
      <c r="C208" s="102">
        <f>ROW()-25</f>
        <v>183</v>
      </c>
      <c r="D208" s="103" t="s">
        <v>1138</v>
      </c>
      <c r="E208" s="103" t="s">
        <v>1396</v>
      </c>
      <c r="F208" s="93" t="s">
        <v>2167</v>
      </c>
      <c r="G208" s="105" t="s">
        <v>1395</v>
      </c>
      <c r="H208" s="103" t="s">
        <v>8</v>
      </c>
      <c r="I208" s="103" t="s">
        <v>74</v>
      </c>
      <c r="J208" s="222" t="s">
        <v>18</v>
      </c>
      <c r="K208" s="223" t="s">
        <v>18</v>
      </c>
      <c r="L208" s="223" t="s">
        <v>18</v>
      </c>
      <c r="M208" s="193"/>
      <c r="N208" s="223" t="s">
        <v>46</v>
      </c>
      <c r="O208" s="136"/>
      <c r="P208" s="105" t="s">
        <v>126</v>
      </c>
      <c r="Q208" s="104" t="s">
        <v>1394</v>
      </c>
      <c r="R208" s="105" t="s">
        <v>25</v>
      </c>
      <c r="S208" s="104"/>
      <c r="T208" s="106" t="s">
        <v>1175</v>
      </c>
      <c r="U208" s="106" t="s">
        <v>24</v>
      </c>
      <c r="V208" s="105" t="s">
        <v>24</v>
      </c>
      <c r="W208" s="107" t="s">
        <v>25</v>
      </c>
      <c r="X208" s="107" t="s">
        <v>25</v>
      </c>
      <c r="Y208" s="192" t="str">
        <f>_xlfn.LET(_xlpm.v,_xlfn.XLOOKUP(E208,'[1]SME09-01_LHM'!$D:$D,'[1]SME09-01_LHM'!$AL:$AL),IF(_xlpm.v=0,"",_xlpm.v))</f>
        <v>IBG-17</v>
      </c>
      <c r="Z208" s="104" t="str">
        <f>_xlfn.LET(_xlpm.v,IF(ISTEXT(Y208),_xlfn.XLOOKUP(Y208,'JP-PINT'!A:A,'JP-PINT'!B:B),""),IF(ISERROR(_xlpm.v),"",_xlpm.v))</f>
        <v>&gt; CREDIT TRANSFER</v>
      </c>
      <c r="AA208" s="103" t="s">
        <v>8</v>
      </c>
    </row>
    <row r="209" spans="1:27" s="134" customFormat="1" ht="12.75" customHeight="1">
      <c r="A209" s="4">
        <f>IF(ISTEXT(E209),_xlfn.XLOOKUP(E209,'[1]SME09-01_LHM'!$D:$D,'[1]SME09-01_LHM'!$B:$B))</f>
        <v>293</v>
      </c>
      <c r="B209" s="4">
        <f>_xlfn.XLOOKUP(F209,'[1]SME09-01_LHM'!$I:$I,'[1]SME09-01_LHM'!$B:$B)</f>
        <v>293</v>
      </c>
      <c r="C209" s="102">
        <f>ROW()-25</f>
        <v>184</v>
      </c>
      <c r="D209" s="103" t="s">
        <v>1138</v>
      </c>
      <c r="E209" s="103" t="s">
        <v>1392</v>
      </c>
      <c r="F209" s="105" t="s">
        <v>1391</v>
      </c>
      <c r="G209" s="105" t="s">
        <v>1390</v>
      </c>
      <c r="H209" s="103" t="s">
        <v>8</v>
      </c>
      <c r="I209" s="103" t="s">
        <v>74</v>
      </c>
      <c r="J209" s="222" t="s">
        <v>18</v>
      </c>
      <c r="K209" s="223" t="s">
        <v>18</v>
      </c>
      <c r="L209" s="223" t="s">
        <v>18</v>
      </c>
      <c r="M209" s="193" t="s">
        <v>73</v>
      </c>
      <c r="N209" s="223" t="s">
        <v>72</v>
      </c>
      <c r="O209" s="136"/>
      <c r="P209" s="105" t="s">
        <v>126</v>
      </c>
      <c r="Q209" s="104" t="s">
        <v>1389</v>
      </c>
      <c r="R209" s="105" t="s">
        <v>10</v>
      </c>
      <c r="S209" s="104"/>
      <c r="T209" s="106"/>
      <c r="U209" s="106" t="s">
        <v>24</v>
      </c>
      <c r="V209" s="105" t="s">
        <v>24</v>
      </c>
      <c r="W209" s="107" t="s">
        <v>10</v>
      </c>
      <c r="X209" s="107" t="s">
        <v>10</v>
      </c>
      <c r="Y209" s="192" t="str">
        <f>_xlfn.LET(_xlpm.v,_xlfn.XLOOKUP(E209,'[1]SME09-01_LHM'!$D:$D,'[1]SME09-01_LHM'!$AL:$AL),IF(_xlpm.v=0,"",_xlpm.v))</f>
        <v>IBT-085</v>
      </c>
      <c r="Z209" s="104" t="str">
        <f>_xlfn.LET(_xlpm.v,IF(ISTEXT(Y209),_xlfn.XLOOKUP(Y209,'JP-PINT'!A:A,'JP-PINT'!B:B),""),IF(ISERROR(_xlpm.v),"",_xlpm.v))</f>
        <v>&gt;&gt; Payment account name</v>
      </c>
      <c r="AA209" s="103" t="s">
        <v>8</v>
      </c>
    </row>
    <row r="210" spans="1:27" s="134" customFormat="1" ht="12.75" customHeight="1">
      <c r="A210" s="4">
        <f>IF(ISTEXT(E210),_xlfn.XLOOKUP(E210,'[1]SME09-01_LHM'!$D:$D,'[1]SME09-01_LHM'!$B:$B))</f>
        <v>294</v>
      </c>
      <c r="B210" s="4">
        <f>_xlfn.XLOOKUP(F210,'[1]SME09-01_LHM'!$I:$I,'[1]SME09-01_LHM'!$B:$B)</f>
        <v>294</v>
      </c>
      <c r="C210" s="102">
        <f>ROW()-25</f>
        <v>185</v>
      </c>
      <c r="D210" s="103" t="s">
        <v>1138</v>
      </c>
      <c r="E210" s="103" t="s">
        <v>1387</v>
      </c>
      <c r="F210" s="105" t="s">
        <v>1386</v>
      </c>
      <c r="G210" s="105" t="s">
        <v>1385</v>
      </c>
      <c r="H210" s="103" t="s">
        <v>8</v>
      </c>
      <c r="I210" s="103" t="s">
        <v>74</v>
      </c>
      <c r="J210" s="222" t="s">
        <v>18</v>
      </c>
      <c r="K210" s="223" t="s">
        <v>18</v>
      </c>
      <c r="L210" s="223" t="s">
        <v>18</v>
      </c>
      <c r="M210" s="193" t="s">
        <v>73</v>
      </c>
      <c r="N210" s="223" t="s">
        <v>183</v>
      </c>
      <c r="O210" s="136"/>
      <c r="P210" s="105" t="s">
        <v>126</v>
      </c>
      <c r="Q210" s="104" t="s">
        <v>1384</v>
      </c>
      <c r="R210" s="105" t="s">
        <v>10</v>
      </c>
      <c r="S210" s="104"/>
      <c r="T210" s="106" t="s">
        <v>1175</v>
      </c>
      <c r="U210" s="106" t="s">
        <v>24</v>
      </c>
      <c r="V210" s="105" t="s">
        <v>24</v>
      </c>
      <c r="W210" s="107" t="s">
        <v>10</v>
      </c>
      <c r="X210" s="107" t="s">
        <v>10</v>
      </c>
      <c r="Y210" s="192" t="str">
        <f>_xlfn.LET(_xlpm.v,_xlfn.XLOOKUP(E210,'[1]SME09-01_LHM'!$D:$D,'[1]SME09-01_LHM'!$AL:$AL),IF(_xlpm.v=0,"",_xlpm.v))</f>
        <v>IBT-084</v>
      </c>
      <c r="Z210" s="104" t="str">
        <f>_xlfn.LET(_xlpm.v,IF(ISTEXT(Y210),_xlfn.XLOOKUP(Y210,'JP-PINT'!A:A,'JP-PINT'!B:B),""),IF(ISERROR(_xlpm.v),"",_xlpm.v))</f>
        <v>&gt;&gt; Payment account identifier</v>
      </c>
      <c r="AA210" s="103" t="s">
        <v>31</v>
      </c>
    </row>
    <row r="211" spans="1:27" s="134" customFormat="1" ht="12.75" customHeight="1">
      <c r="A211" s="4">
        <f>IF(ISTEXT(E211),_xlfn.XLOOKUP(E211,'[1]SME09-01_LHM'!$D:$D,'[1]SME09-01_LHM'!$B:$B))</f>
        <v>295</v>
      </c>
      <c r="B211" s="4">
        <f>_xlfn.XLOOKUP(F211,'[1]SME09-01_LHM'!$I:$I,'[1]SME09-01_LHM'!$B:$B)</f>
        <v>295</v>
      </c>
      <c r="C211" s="102">
        <f>ROW()-25</f>
        <v>186</v>
      </c>
      <c r="D211" s="103" t="s">
        <v>1138</v>
      </c>
      <c r="E211" s="103" t="s">
        <v>1382</v>
      </c>
      <c r="F211" s="105" t="s">
        <v>1381</v>
      </c>
      <c r="G211" s="105" t="s">
        <v>1380</v>
      </c>
      <c r="H211" s="103" t="s">
        <v>8</v>
      </c>
      <c r="I211" s="103" t="s">
        <v>143</v>
      </c>
      <c r="J211" s="222" t="s">
        <v>18</v>
      </c>
      <c r="K211" s="223" t="s">
        <v>18</v>
      </c>
      <c r="L211" s="223" t="s">
        <v>18</v>
      </c>
      <c r="M211" s="193" t="s">
        <v>73</v>
      </c>
      <c r="N211" s="223" t="s">
        <v>1359</v>
      </c>
      <c r="O211" s="136"/>
      <c r="P211" s="105" t="s">
        <v>126</v>
      </c>
      <c r="Q211" s="104" t="s">
        <v>1379</v>
      </c>
      <c r="R211" s="105" t="s">
        <v>10</v>
      </c>
      <c r="S211" s="104" t="s">
        <v>1378</v>
      </c>
      <c r="T211" s="106" t="s">
        <v>1377</v>
      </c>
      <c r="U211" s="106" t="s">
        <v>24</v>
      </c>
      <c r="V211" s="105" t="s">
        <v>24</v>
      </c>
      <c r="W211" s="107" t="s">
        <v>10</v>
      </c>
      <c r="X211" s="107" t="s">
        <v>10</v>
      </c>
      <c r="Y211" s="192" t="str">
        <f>_xlfn.LET(_xlpm.v,_xlfn.XLOOKUP(E211,'[1]SME09-01_LHM'!$D:$D,'[1]SME09-01_LHM'!$AL:$AL),IF(_xlpm.v=0,"",_xlpm.v))</f>
        <v/>
      </c>
      <c r="Z211" s="104" t="str">
        <f>_xlfn.LET(_xlpm.v,IF(ISTEXT(Y211),_xlfn.XLOOKUP(Y211,'JP-PINT'!A:A,'JP-PINT'!B:B),""),IF(ISERROR(_xlpm.v),"",_xlpm.v))</f>
        <v/>
      </c>
      <c r="AA211" s="223" t="s">
        <v>24</v>
      </c>
    </row>
    <row r="212" spans="1:27" s="134" customFormat="1" ht="12.75" customHeight="1">
      <c r="A212" s="4">
        <f>IF(ISTEXT(E212),_xlfn.XLOOKUP(E212,'[1]SME09-01_LHM'!$D:$D,'[1]SME09-01_LHM'!$B:$B))</f>
        <v>296</v>
      </c>
      <c r="B212" s="4">
        <f>_xlfn.XLOOKUP(F212,'[1]SME09-01_LHM'!$I:$I,'[1]SME09-01_LHM'!$B:$B)</f>
        <v>296</v>
      </c>
      <c r="C212" s="102">
        <f>ROW()-25</f>
        <v>187</v>
      </c>
      <c r="D212" s="103" t="s">
        <v>1138</v>
      </c>
      <c r="E212" s="103" t="s">
        <v>1376</v>
      </c>
      <c r="F212" s="93" t="s">
        <v>2168</v>
      </c>
      <c r="G212" s="105" t="s">
        <v>1375</v>
      </c>
      <c r="H212" s="103" t="s">
        <v>8</v>
      </c>
      <c r="I212" s="103" t="s">
        <v>74</v>
      </c>
      <c r="J212" s="222" t="s">
        <v>18</v>
      </c>
      <c r="K212" s="223" t="s">
        <v>18</v>
      </c>
      <c r="L212" s="223" t="s">
        <v>18</v>
      </c>
      <c r="M212" s="193"/>
      <c r="N212" s="223" t="s">
        <v>24</v>
      </c>
      <c r="O212" s="136"/>
      <c r="P212" s="105" t="s">
        <v>126</v>
      </c>
      <c r="Q212" s="104" t="s">
        <v>1374</v>
      </c>
      <c r="R212" s="105" t="s">
        <v>25</v>
      </c>
      <c r="S212" s="104"/>
      <c r="T212" s="106" t="s">
        <v>1175</v>
      </c>
      <c r="U212" s="106" t="s">
        <v>24</v>
      </c>
      <c r="V212" s="105" t="s">
        <v>24</v>
      </c>
      <c r="W212" s="107" t="s">
        <v>25</v>
      </c>
      <c r="X212" s="107" t="s">
        <v>25</v>
      </c>
      <c r="Y212" s="192" t="str">
        <f>_xlfn.LET(_xlpm.v,_xlfn.XLOOKUP(E212,'[1]SME09-01_LHM'!$D:$D,'[1]SME09-01_LHM'!$AL:$AL),IF(_xlpm.v=0,"",_xlpm.v))</f>
        <v/>
      </c>
      <c r="Z212" s="104" t="str">
        <f>_xlfn.LET(_xlpm.v,IF(ISTEXT(Y212),_xlfn.XLOOKUP(Y212,'JP-PINT'!A:A,'JP-PINT'!B:B),""),IF(ISERROR(_xlpm.v),"",_xlpm.v))</f>
        <v/>
      </c>
      <c r="AA212" s="103" t="s">
        <v>24</v>
      </c>
    </row>
    <row r="213" spans="1:27" s="134" customFormat="1" ht="12.75" customHeight="1">
      <c r="A213" s="4">
        <f>IF(ISTEXT(E213),_xlfn.XLOOKUP(E213,'[1]SME09-01_LHM'!$D:$D,'[1]SME09-01_LHM'!$B:$B))</f>
        <v>298</v>
      </c>
      <c r="B213" s="4">
        <f>_xlfn.XLOOKUP(F213,'[1]SME09-01_LHM'!$I:$I,'[1]SME09-01_LHM'!$B:$B)</f>
        <v>298</v>
      </c>
      <c r="C213" s="102">
        <f>ROW()-25</f>
        <v>188</v>
      </c>
      <c r="D213" s="103" t="s">
        <v>1138</v>
      </c>
      <c r="E213" s="103" t="s">
        <v>1373</v>
      </c>
      <c r="F213" s="105" t="s">
        <v>1372</v>
      </c>
      <c r="G213" s="105" t="s">
        <v>1371</v>
      </c>
      <c r="H213" s="103" t="s">
        <v>8</v>
      </c>
      <c r="I213" s="103" t="s">
        <v>74</v>
      </c>
      <c r="J213" s="222" t="s">
        <v>18</v>
      </c>
      <c r="K213" s="223" t="s">
        <v>18</v>
      </c>
      <c r="L213" s="223" t="s">
        <v>18</v>
      </c>
      <c r="M213" s="193" t="s">
        <v>73</v>
      </c>
      <c r="N213" s="223" t="s">
        <v>24</v>
      </c>
      <c r="O213" s="136"/>
      <c r="P213" s="105" t="s">
        <v>126</v>
      </c>
      <c r="Q213" s="104" t="s">
        <v>1370</v>
      </c>
      <c r="R213" s="105" t="s">
        <v>10</v>
      </c>
      <c r="S213" s="104"/>
      <c r="T213" s="103"/>
      <c r="U213" s="103"/>
      <c r="V213" s="105"/>
      <c r="W213" s="107" t="s">
        <v>10</v>
      </c>
      <c r="X213" s="107" t="s">
        <v>10</v>
      </c>
      <c r="Y213" s="192" t="str">
        <f>_xlfn.LET(_xlpm.v,_xlfn.XLOOKUP(E213,'[1]SME09-01_LHM'!$D:$D,'[1]SME09-01_LHM'!$AL:$AL),IF(_xlpm.v=0,"",_xlpm.v))</f>
        <v/>
      </c>
      <c r="Z213" s="104" t="str">
        <f>_xlfn.LET(_xlpm.v,IF(ISTEXT(Y213),_xlfn.XLOOKUP(Y213,'JP-PINT'!A:A,'JP-PINT'!B:B),""),IF(ISERROR(_xlpm.v),"",_xlpm.v))</f>
        <v/>
      </c>
      <c r="AA213" s="103" t="s">
        <v>24</v>
      </c>
    </row>
    <row r="214" spans="1:27" s="134" customFormat="1" ht="12.75" customHeight="1">
      <c r="A214" s="4">
        <f>IF(ISTEXT(E214),_xlfn.XLOOKUP(E214,'[1]SME09-01_LHM'!$D:$D,'[1]SME09-01_LHM'!$B:$B))</f>
        <v>299</v>
      </c>
      <c r="B214" s="4">
        <f>_xlfn.XLOOKUP(F214,'[1]SME09-01_LHM'!$I:$I,'[1]SME09-01_LHM'!$B:$B)</f>
        <v>299</v>
      </c>
      <c r="C214" s="102">
        <f>ROW()-25</f>
        <v>189</v>
      </c>
      <c r="D214" s="103" t="s">
        <v>1138</v>
      </c>
      <c r="E214" s="103" t="s">
        <v>1369</v>
      </c>
      <c r="F214" s="105" t="s">
        <v>1368</v>
      </c>
      <c r="G214" s="105" t="s">
        <v>1367</v>
      </c>
      <c r="H214" s="103" t="s">
        <v>8</v>
      </c>
      <c r="I214" s="103" t="s">
        <v>74</v>
      </c>
      <c r="J214" s="222" t="s">
        <v>18</v>
      </c>
      <c r="K214" s="223" t="s">
        <v>18</v>
      </c>
      <c r="L214" s="223" t="s">
        <v>18</v>
      </c>
      <c r="M214" s="193"/>
      <c r="N214" s="223" t="s">
        <v>1359</v>
      </c>
      <c r="O214" s="136"/>
      <c r="P214" s="105" t="s">
        <v>126</v>
      </c>
      <c r="Q214" s="105" t="s">
        <v>1366</v>
      </c>
      <c r="R214" s="105" t="s">
        <v>10</v>
      </c>
      <c r="S214" s="104"/>
      <c r="T214" s="106"/>
      <c r="U214" s="106"/>
      <c r="V214" s="105"/>
      <c r="W214" s="107" t="s">
        <v>10</v>
      </c>
      <c r="X214" s="107" t="s">
        <v>10</v>
      </c>
      <c r="Y214" s="192" t="str">
        <f>_xlfn.LET(_xlpm.v,_xlfn.XLOOKUP(E214,'[1]SME09-01_LHM'!$D:$D,'[1]SME09-01_LHM'!$AL:$AL),IF(_xlpm.v=0,"",_xlpm.v))</f>
        <v/>
      </c>
      <c r="Z214" s="104" t="str">
        <f>_xlfn.LET(_xlpm.v,IF(ISTEXT(Y214),_xlfn.XLOOKUP(Y214,'JP-PINT'!A:A,'JP-PINT'!B:B),""),IF(ISERROR(_xlpm.v),"",_xlpm.v))</f>
        <v/>
      </c>
      <c r="AA214" s="223" t="s">
        <v>24</v>
      </c>
    </row>
    <row r="215" spans="1:27" s="134" customFormat="1" ht="12.75" customHeight="1">
      <c r="A215" s="4">
        <f>IF(ISTEXT(E215),_xlfn.XLOOKUP(E215,'[1]SME09-01_LHM'!$D:$D,'[1]SME09-01_LHM'!$B:$B))</f>
        <v>300</v>
      </c>
      <c r="B215" s="4">
        <f>_xlfn.XLOOKUP(F215,'[1]SME09-01_LHM'!$I:$I,'[1]SME09-01_LHM'!$B:$B)</f>
        <v>300</v>
      </c>
      <c r="C215" s="102">
        <f>ROW()-25</f>
        <v>190</v>
      </c>
      <c r="D215" s="103" t="s">
        <v>1138</v>
      </c>
      <c r="E215" s="103" t="s">
        <v>1365</v>
      </c>
      <c r="F215" s="93" t="s">
        <v>2169</v>
      </c>
      <c r="G215" s="105" t="s">
        <v>1364</v>
      </c>
      <c r="H215" s="103" t="s">
        <v>8</v>
      </c>
      <c r="I215" s="103" t="s">
        <v>74</v>
      </c>
      <c r="J215" s="222" t="s">
        <v>18</v>
      </c>
      <c r="K215" s="223" t="s">
        <v>18</v>
      </c>
      <c r="L215" s="223" t="s">
        <v>18</v>
      </c>
      <c r="M215" s="193"/>
      <c r="N215" s="223" t="s">
        <v>27</v>
      </c>
      <c r="O215" s="136"/>
      <c r="P215" s="105" t="s">
        <v>126</v>
      </c>
      <c r="Q215" s="105" t="s">
        <v>1363</v>
      </c>
      <c r="R215" s="105" t="s">
        <v>25</v>
      </c>
      <c r="S215" s="104"/>
      <c r="T215" s="106"/>
      <c r="U215" s="106"/>
      <c r="V215" s="105"/>
      <c r="W215" s="107" t="s">
        <v>25</v>
      </c>
      <c r="X215" s="107" t="s">
        <v>25</v>
      </c>
      <c r="Y215" s="192" t="str">
        <f>_xlfn.LET(_xlpm.v,_xlfn.XLOOKUP(E215,'[1]SME09-01_LHM'!$D:$D,'[1]SME09-01_LHM'!$AL:$AL),IF(_xlpm.v=0,"",_xlpm.v))</f>
        <v/>
      </c>
      <c r="Z215" s="104" t="str">
        <f>_xlfn.LET(_xlpm.v,IF(ISTEXT(Y215),_xlfn.XLOOKUP(Y215,'JP-PINT'!A:A,'JP-PINT'!B:B),""),IF(ISERROR(_xlpm.v),"",_xlpm.v))</f>
        <v/>
      </c>
      <c r="AA215" s="223" t="s">
        <v>24</v>
      </c>
    </row>
    <row r="216" spans="1:27" s="134" customFormat="1" ht="12.75" customHeight="1">
      <c r="A216" s="4">
        <f>IF(ISTEXT(E216),_xlfn.XLOOKUP(E216,'[1]SME09-01_LHM'!$D:$D,'[1]SME09-01_LHM'!$B:$B))</f>
        <v>302</v>
      </c>
      <c r="B216" s="4">
        <f>_xlfn.XLOOKUP(F216,'[1]SME09-01_LHM'!$I:$I,'[1]SME09-01_LHM'!$B:$B)</f>
        <v>302</v>
      </c>
      <c r="C216" s="102">
        <f>ROW()-25</f>
        <v>191</v>
      </c>
      <c r="D216" s="103" t="s">
        <v>1138</v>
      </c>
      <c r="E216" s="103" t="s">
        <v>1362</v>
      </c>
      <c r="F216" s="105" t="s">
        <v>1361</v>
      </c>
      <c r="G216" s="104" t="s">
        <v>1360</v>
      </c>
      <c r="H216" s="103" t="s">
        <v>8</v>
      </c>
      <c r="I216" s="103" t="s">
        <v>74</v>
      </c>
      <c r="J216" s="222" t="s">
        <v>18</v>
      </c>
      <c r="K216" s="223" t="s">
        <v>18</v>
      </c>
      <c r="L216" s="223" t="s">
        <v>18</v>
      </c>
      <c r="M216" s="193"/>
      <c r="N216" s="223" t="s">
        <v>1359</v>
      </c>
      <c r="O216" s="136"/>
      <c r="P216" s="105" t="s">
        <v>126</v>
      </c>
      <c r="Q216" s="105" t="s">
        <v>1358</v>
      </c>
      <c r="R216" s="105" t="s">
        <v>10</v>
      </c>
      <c r="S216" s="104"/>
      <c r="T216" s="106"/>
      <c r="U216" s="106"/>
      <c r="V216" s="105"/>
      <c r="W216" s="107" t="s">
        <v>10</v>
      </c>
      <c r="X216" s="107" t="s">
        <v>10</v>
      </c>
      <c r="Y216" s="192" t="str">
        <f>_xlfn.LET(_xlpm.v,_xlfn.XLOOKUP(E216,'[1]SME09-01_LHM'!$D:$D,'[1]SME09-01_LHM'!$AL:$AL),IF(_xlpm.v=0,"",_xlpm.v))</f>
        <v/>
      </c>
      <c r="Z216" s="104" t="str">
        <f>_xlfn.LET(_xlpm.v,IF(ISTEXT(Y216),_xlfn.XLOOKUP(Y216,'JP-PINT'!A:A,'JP-PINT'!B:B),""),IF(ISERROR(_xlpm.v),"",_xlpm.v))</f>
        <v/>
      </c>
      <c r="AA216" s="223" t="s">
        <v>24</v>
      </c>
    </row>
    <row r="217" spans="1:27" s="137" customFormat="1" ht="12.75" customHeight="1">
      <c r="A217" s="4">
        <f>IF(ISTEXT(E217),_xlfn.XLOOKUP(E217,'[1]SME09-01_LHM'!$D:$D,'[1]SME09-01_LHM'!$B:$B))</f>
        <v>303</v>
      </c>
      <c r="B217" s="4">
        <f>_xlfn.XLOOKUP(F217,'[1]SME09-01_LHM'!$I:$I,'[1]SME09-01_LHM'!$B:$B)</f>
        <v>303</v>
      </c>
      <c r="C217" s="102">
        <f>ROW()-25</f>
        <v>192</v>
      </c>
      <c r="D217" s="103" t="s">
        <v>1138</v>
      </c>
      <c r="E217" s="103" t="s">
        <v>1357</v>
      </c>
      <c r="F217" s="105" t="s">
        <v>1356</v>
      </c>
      <c r="G217" s="104" t="s">
        <v>1355</v>
      </c>
      <c r="H217" s="103" t="s">
        <v>8</v>
      </c>
      <c r="I217" s="103" t="s">
        <v>74</v>
      </c>
      <c r="J217" s="222" t="s">
        <v>18</v>
      </c>
      <c r="K217" s="223" t="s">
        <v>18</v>
      </c>
      <c r="L217" s="223" t="s">
        <v>18</v>
      </c>
      <c r="M217" s="193" t="s">
        <v>73</v>
      </c>
      <c r="N217" s="223" t="s">
        <v>27</v>
      </c>
      <c r="O217" s="136"/>
      <c r="P217" s="105" t="s">
        <v>126</v>
      </c>
      <c r="Q217" s="105" t="s">
        <v>1354</v>
      </c>
      <c r="R217" s="105" t="s">
        <v>10</v>
      </c>
      <c r="S217" s="104"/>
      <c r="T217" s="106"/>
      <c r="U217" s="106"/>
      <c r="V217" s="105"/>
      <c r="W217" s="107" t="s">
        <v>10</v>
      </c>
      <c r="X217" s="107" t="s">
        <v>10</v>
      </c>
      <c r="Y217" s="192" t="str">
        <f>_xlfn.LET(_xlpm.v,_xlfn.XLOOKUP(E217,'[1]SME09-01_LHM'!$D:$D,'[1]SME09-01_LHM'!$AL:$AL),IF(_xlpm.v=0,"",_xlpm.v))</f>
        <v/>
      </c>
      <c r="Z217" s="104" t="str">
        <f>_xlfn.LET(_xlpm.v,IF(ISTEXT(Y217),_xlfn.XLOOKUP(Y217,'JP-PINT'!A:A,'JP-PINT'!B:B),""),IF(ISERROR(_xlpm.v),"",_xlpm.v))</f>
        <v/>
      </c>
      <c r="AA217" s="223" t="s">
        <v>24</v>
      </c>
    </row>
    <row r="218" spans="1:27" s="137" customFormat="1" ht="12.75" customHeight="1">
      <c r="A218" s="4">
        <f>IF(ISTEXT(E218),_xlfn.XLOOKUP(E218,'[1]SME09-01_LHM'!$D:$D,'[1]SME09-01_LHM'!$B:$B))</f>
        <v>304</v>
      </c>
      <c r="B218" s="4">
        <f>_xlfn.XLOOKUP(F218,'[1]SME09-01_LHM'!$I:$I,'[1]SME09-01_LHM'!$B:$B)</f>
        <v>304</v>
      </c>
      <c r="C218" s="102">
        <f>ROW()-25</f>
        <v>193</v>
      </c>
      <c r="D218" s="103" t="s">
        <v>1138</v>
      </c>
      <c r="E218" s="103" t="s">
        <v>1353</v>
      </c>
      <c r="F218" s="93" t="s">
        <v>2170</v>
      </c>
      <c r="G218" s="105" t="s">
        <v>1352</v>
      </c>
      <c r="H218" s="103" t="s">
        <v>8</v>
      </c>
      <c r="I218" s="103" t="s">
        <v>143</v>
      </c>
      <c r="J218" s="222" t="s">
        <v>66</v>
      </c>
      <c r="K218" s="223" t="s">
        <v>66</v>
      </c>
      <c r="L218" s="223" t="s">
        <v>505</v>
      </c>
      <c r="M218" s="193"/>
      <c r="N218" s="223" t="s">
        <v>221</v>
      </c>
      <c r="O218" s="136"/>
      <c r="P218" s="105" t="s">
        <v>126</v>
      </c>
      <c r="Q218" s="105" t="s">
        <v>1351</v>
      </c>
      <c r="R218" s="105" t="s">
        <v>25</v>
      </c>
      <c r="S218" s="104"/>
      <c r="T218" s="106"/>
      <c r="U218" s="106"/>
      <c r="V218" s="105"/>
      <c r="W218" s="107" t="s">
        <v>25</v>
      </c>
      <c r="X218" s="107" t="s">
        <v>25</v>
      </c>
      <c r="Y218" s="192" t="str">
        <f>_xlfn.LET(_xlpm.v,_xlfn.XLOOKUP(E218,'[1]SME09-01_LHM'!$D:$D,'[1]SME09-01_LHM'!$AL:$AL),IF(_xlpm.v=0,"",_xlpm.v))</f>
        <v>IBG-18</v>
      </c>
      <c r="Z218" s="104" t="str">
        <f>_xlfn.LET(_xlpm.v,IF(ISTEXT(Y218),_xlfn.XLOOKUP(Y218,'JP-PINT'!A:A,'JP-PINT'!B:B),""),IF(ISERROR(_xlpm.v),"",_xlpm.v))</f>
        <v>&gt; PAYMENT CARD INFORMATION</v>
      </c>
      <c r="AA218" s="138" t="s">
        <v>8</v>
      </c>
    </row>
    <row r="219" spans="1:27" s="137" customFormat="1" ht="12.75" customHeight="1">
      <c r="A219" s="4">
        <f>IF(ISTEXT(E219),_xlfn.XLOOKUP(E219,'[1]SME09-01_LHM'!$D:$D,'[1]SME09-01_LHM'!$B:$B))</f>
        <v>306</v>
      </c>
      <c r="B219" s="4">
        <f>_xlfn.XLOOKUP(F219,'[1]SME09-01_LHM'!$I:$I,'[1]SME09-01_LHM'!$B:$B)</f>
        <v>306</v>
      </c>
      <c r="C219" s="102">
        <f>ROW()-25</f>
        <v>194</v>
      </c>
      <c r="D219" s="103" t="s">
        <v>1138</v>
      </c>
      <c r="E219" s="103" t="s">
        <v>1349</v>
      </c>
      <c r="F219" s="105" t="s">
        <v>1348</v>
      </c>
      <c r="G219" s="104" t="s">
        <v>1347</v>
      </c>
      <c r="H219" s="103" t="s">
        <v>31</v>
      </c>
      <c r="I219" s="103" t="s">
        <v>143</v>
      </c>
      <c r="J219" s="222" t="s">
        <v>66</v>
      </c>
      <c r="K219" s="223" t="s">
        <v>66</v>
      </c>
      <c r="L219" s="223" t="s">
        <v>505</v>
      </c>
      <c r="M219" s="193" t="s">
        <v>73</v>
      </c>
      <c r="N219" s="223" t="s">
        <v>72</v>
      </c>
      <c r="O219" s="136"/>
      <c r="P219" s="105" t="s">
        <v>126</v>
      </c>
      <c r="Q219" s="105" t="s">
        <v>1346</v>
      </c>
      <c r="R219" s="105" t="s">
        <v>10</v>
      </c>
      <c r="S219" s="104"/>
      <c r="T219" s="106"/>
      <c r="U219" s="106"/>
      <c r="V219" s="105"/>
      <c r="W219" s="107" t="s">
        <v>10</v>
      </c>
      <c r="X219" s="107" t="s">
        <v>10</v>
      </c>
      <c r="Y219" s="192" t="str">
        <f>_xlfn.LET(_xlpm.v,_xlfn.XLOOKUP(E219,'[1]SME09-01_LHM'!$D:$D,'[1]SME09-01_LHM'!$AL:$AL),IF(_xlpm.v=0,"",_xlpm.v))</f>
        <v>IBT-087</v>
      </c>
      <c r="Z219" s="104" t="str">
        <f>_xlfn.LET(_xlpm.v,IF(ISTEXT(Y219),_xlfn.XLOOKUP(Y219,'JP-PINT'!A:A,'JP-PINT'!B:B),""),IF(ISERROR(_xlpm.v),"",_xlpm.v))</f>
        <v>&gt;&gt; Payment card primary account number</v>
      </c>
      <c r="AA219" s="138" t="s">
        <v>8</v>
      </c>
    </row>
    <row r="220" spans="1:27" ht="12.75" customHeight="1">
      <c r="A220" s="4">
        <f>IF(ISTEXT(E220),_xlfn.XLOOKUP(E220,'[1]SME09-01_LHM'!$D:$D,'[1]SME09-01_LHM'!$B:$B))</f>
        <v>307</v>
      </c>
      <c r="B220" s="4">
        <f>_xlfn.XLOOKUP(F220,'[1]SME09-01_LHM'!$I:$I,'[1]SME09-01_LHM'!$B:$B)</f>
        <v>307</v>
      </c>
      <c r="C220" s="22">
        <f>ROW()-25</f>
        <v>195</v>
      </c>
      <c r="D220" s="16" t="s">
        <v>1138</v>
      </c>
      <c r="E220" s="16" t="s">
        <v>1344</v>
      </c>
      <c r="F220" s="18" t="s">
        <v>1343</v>
      </c>
      <c r="G220" s="17" t="s">
        <v>1342</v>
      </c>
      <c r="H220" s="16" t="s">
        <v>8</v>
      </c>
      <c r="I220" s="16" t="s">
        <v>143</v>
      </c>
      <c r="J220" s="188" t="s">
        <v>18</v>
      </c>
      <c r="K220" s="181" t="s">
        <v>18</v>
      </c>
      <c r="L220" s="181" t="s">
        <v>505</v>
      </c>
      <c r="M220" s="186"/>
      <c r="N220" s="181" t="s">
        <v>27</v>
      </c>
      <c r="P220" s="105" t="s">
        <v>126</v>
      </c>
      <c r="Q220" s="105" t="s">
        <v>1341</v>
      </c>
      <c r="R220" s="105" t="s">
        <v>10</v>
      </c>
      <c r="S220" s="104"/>
      <c r="T220" s="106"/>
      <c r="U220" s="106"/>
      <c r="V220" s="105"/>
      <c r="W220" s="3" t="s">
        <v>10</v>
      </c>
      <c r="X220" s="3" t="s">
        <v>10</v>
      </c>
      <c r="Y220" s="182" t="str">
        <f>_xlfn.LET(_xlpm.v,_xlfn.XLOOKUP(E220,'[1]SME09-01_LHM'!$D:$D,'[1]SME09-01_LHM'!$AL:$AL),IF(_xlpm.v=0,"",_xlpm.v))</f>
        <v/>
      </c>
      <c r="Z220" s="104" t="str">
        <f>_xlfn.LET(_xlpm.v,IF(ISTEXT(Y220),_xlfn.XLOOKUP(Y220,'JP-PINT'!A:A,'JP-PINT'!B:B),""),IF(ISERROR(_xlpm.v),"",_xlpm.v))</f>
        <v/>
      </c>
      <c r="AA220" s="181" t="s">
        <v>24</v>
      </c>
    </row>
    <row r="221" spans="1:27" ht="12.75" customHeight="1">
      <c r="A221" s="4">
        <f>IF(ISTEXT(E221),_xlfn.XLOOKUP(E221,'[1]SME09-01_LHM'!$D:$D,'[1]SME09-01_LHM'!$B:$B))</f>
        <v>308</v>
      </c>
      <c r="B221" s="4">
        <f>_xlfn.XLOOKUP(F221,'[1]SME09-01_LHM'!$I:$I,'[1]SME09-01_LHM'!$B:$B)</f>
        <v>308</v>
      </c>
      <c r="C221" s="22">
        <f>ROW()-25</f>
        <v>196</v>
      </c>
      <c r="D221" s="16" t="s">
        <v>1138</v>
      </c>
      <c r="E221" s="16" t="s">
        <v>1340</v>
      </c>
      <c r="F221" s="18" t="s">
        <v>1339</v>
      </c>
      <c r="G221" s="17" t="s">
        <v>1338</v>
      </c>
      <c r="H221" s="16" t="s">
        <v>8</v>
      </c>
      <c r="I221" s="16" t="s">
        <v>143</v>
      </c>
      <c r="J221" s="188" t="s">
        <v>18</v>
      </c>
      <c r="K221" s="181" t="s">
        <v>18</v>
      </c>
      <c r="L221" s="181" t="s">
        <v>505</v>
      </c>
      <c r="M221" s="195" t="s">
        <v>73</v>
      </c>
      <c r="N221" s="181" t="s">
        <v>72</v>
      </c>
      <c r="P221" s="105" t="s">
        <v>126</v>
      </c>
      <c r="Q221" s="105" t="s">
        <v>1337</v>
      </c>
      <c r="R221" s="105" t="s">
        <v>10</v>
      </c>
      <c r="S221" s="104"/>
      <c r="T221" s="106"/>
      <c r="U221" s="106"/>
      <c r="V221" s="105"/>
      <c r="W221" s="3" t="s">
        <v>10</v>
      </c>
      <c r="X221" s="3" t="s">
        <v>10</v>
      </c>
      <c r="Y221" s="182" t="str">
        <f>_xlfn.LET(_xlpm.v,_xlfn.XLOOKUP(E221,'[1]SME09-01_LHM'!$D:$D,'[1]SME09-01_LHM'!$AL:$AL),IF(_xlpm.v=0,"",_xlpm.v))</f>
        <v>IBT-088</v>
      </c>
      <c r="Z221" s="104" t="str">
        <f>_xlfn.LET(_xlpm.v,IF(ISTEXT(Y221),_xlfn.XLOOKUP(Y221,'JP-PINT'!A:A,'JP-PINT'!B:B),""),IF(ISERROR(_xlpm.v),"",_xlpm.v))</f>
        <v>&gt;&gt; Payment card holder name</v>
      </c>
      <c r="AA221" s="23" t="s">
        <v>8</v>
      </c>
    </row>
    <row r="222" spans="1:27" ht="12.75" customHeight="1">
      <c r="A222" s="4">
        <f>IF(ISTEXT(E222),_xlfn.XLOOKUP(E222,'[1]SME09-01_LHM'!$D:$D,'[1]SME09-01_LHM'!$B:$B))</f>
        <v>309</v>
      </c>
      <c r="B222" s="4">
        <f>_xlfn.XLOOKUP(F222,'[1]SME09-01_LHM'!$I:$I,'[1]SME09-01_LHM'!$B:$B)</f>
        <v>309</v>
      </c>
      <c r="C222" s="22">
        <f>ROW()-25</f>
        <v>197</v>
      </c>
      <c r="D222" s="16" t="s">
        <v>1138</v>
      </c>
      <c r="E222" s="16" t="s">
        <v>1335</v>
      </c>
      <c r="F222" s="18" t="s">
        <v>1334</v>
      </c>
      <c r="G222" s="17" t="s">
        <v>1333</v>
      </c>
      <c r="H222" s="16" t="s">
        <v>8</v>
      </c>
      <c r="I222" s="16" t="s">
        <v>143</v>
      </c>
      <c r="J222" s="188" t="s">
        <v>18</v>
      </c>
      <c r="K222" s="181" t="s">
        <v>18</v>
      </c>
      <c r="L222" s="181" t="s">
        <v>505</v>
      </c>
      <c r="M222" s="186"/>
      <c r="N222" s="181" t="s">
        <v>27</v>
      </c>
      <c r="P222" s="105" t="s">
        <v>126</v>
      </c>
      <c r="Q222" s="105" t="s">
        <v>1332</v>
      </c>
      <c r="R222" s="105" t="s">
        <v>10</v>
      </c>
      <c r="S222" s="104"/>
      <c r="T222" s="106"/>
      <c r="U222" s="106"/>
      <c r="V222" s="105"/>
      <c r="W222" s="3" t="s">
        <v>10</v>
      </c>
      <c r="X222" s="3" t="s">
        <v>10</v>
      </c>
      <c r="Y222" s="182" t="str">
        <f>_xlfn.LET(_xlpm.v,_xlfn.XLOOKUP(E222,'[1]SME09-01_LHM'!$D:$D,'[1]SME09-01_LHM'!$AL:$AL),IF(_xlpm.v=0,"",_xlpm.v))</f>
        <v/>
      </c>
      <c r="Z222" s="104" t="str">
        <f>_xlfn.LET(_xlpm.v,IF(ISTEXT(Y222),_xlfn.XLOOKUP(Y222,'JP-PINT'!A:A,'JP-PINT'!B:B),""),IF(ISERROR(_xlpm.v),"",_xlpm.v))</f>
        <v/>
      </c>
      <c r="AA222" s="181" t="s">
        <v>24</v>
      </c>
    </row>
    <row r="223" spans="1:27" ht="12.75" customHeight="1">
      <c r="A223" s="4">
        <f>IF(ISTEXT(E223),_xlfn.XLOOKUP(E223,'[1]SME09-01_LHM'!$D:$D,'[1]SME09-01_LHM'!$B:$B))</f>
        <v>310</v>
      </c>
      <c r="B223" s="4">
        <f>_xlfn.XLOOKUP(F223,'[1]SME09-01_LHM'!$I:$I,'[1]SME09-01_LHM'!$B:$B)</f>
        <v>310</v>
      </c>
      <c r="C223" s="22">
        <f>ROW()-25</f>
        <v>198</v>
      </c>
      <c r="D223" s="26" t="s">
        <v>1138</v>
      </c>
      <c r="E223" s="26" t="s">
        <v>1331</v>
      </c>
      <c r="F223" s="93" t="s">
        <v>2171</v>
      </c>
      <c r="G223" s="25" t="s">
        <v>1330</v>
      </c>
      <c r="H223" s="26" t="s">
        <v>43</v>
      </c>
      <c r="I223" s="26" t="s">
        <v>143</v>
      </c>
      <c r="J223" s="201" t="s">
        <v>18</v>
      </c>
      <c r="K223" s="199" t="s">
        <v>18</v>
      </c>
      <c r="L223" s="199" t="s">
        <v>18</v>
      </c>
      <c r="M223" s="189"/>
      <c r="N223" s="181" t="s">
        <v>27</v>
      </c>
      <c r="O223" s="246"/>
      <c r="P223" s="105" t="s">
        <v>126</v>
      </c>
      <c r="Q223" s="105" t="s">
        <v>1329</v>
      </c>
      <c r="R223" s="105" t="s">
        <v>25</v>
      </c>
      <c r="S223" s="104"/>
      <c r="T223" s="106" t="s">
        <v>1175</v>
      </c>
      <c r="U223" s="106" t="s">
        <v>24</v>
      </c>
      <c r="V223" s="105" t="s">
        <v>24</v>
      </c>
      <c r="W223" s="247" t="s">
        <v>25</v>
      </c>
      <c r="X223" s="247" t="s">
        <v>25</v>
      </c>
      <c r="Y223" s="182" t="str">
        <f>_xlfn.LET(_xlpm.v,_xlfn.XLOOKUP(E223,'[1]SME09-01_LHM'!$D:$D,'[1]SME09-01_LHM'!$AL:$AL),IF(_xlpm.v=0,"",_xlpm.v))</f>
        <v/>
      </c>
      <c r="Z223" s="104" t="str">
        <f>_xlfn.LET(_xlpm.v,IF(ISTEXT(Y223),_xlfn.XLOOKUP(Y223,'JP-PINT'!A:A,'JP-PINT'!B:B),""),IF(ISERROR(_xlpm.v),"",_xlpm.v))</f>
        <v/>
      </c>
      <c r="AA223" s="181" t="s">
        <v>24</v>
      </c>
    </row>
    <row r="224" spans="1:27" s="253" customFormat="1" ht="12.75" customHeight="1">
      <c r="A224" s="4">
        <f>IF(ISTEXT(E224),_xlfn.XLOOKUP(E224,'[1]SME09-01_LHM'!$D:$D,'[1]SME09-01_LHM'!$B:$B))</f>
        <v>312</v>
      </c>
      <c r="B224" s="4">
        <f>_xlfn.XLOOKUP(F224,'[1]SME09-01_LHM'!$I:$I,'[1]SME09-01_LHM'!$B:$B)</f>
        <v>312</v>
      </c>
      <c r="C224" s="22">
        <f>ROW()-25</f>
        <v>199</v>
      </c>
      <c r="D224" s="254" t="s">
        <v>1138</v>
      </c>
      <c r="E224" s="254" t="s">
        <v>1328</v>
      </c>
      <c r="F224" s="255" t="s">
        <v>1327</v>
      </c>
      <c r="G224" s="255" t="s">
        <v>1326</v>
      </c>
      <c r="H224" s="31" t="s">
        <v>8</v>
      </c>
      <c r="I224" s="212" t="s">
        <v>143</v>
      </c>
      <c r="J224" s="256" t="s">
        <v>505</v>
      </c>
      <c r="K224" s="256" t="s">
        <v>505</v>
      </c>
      <c r="L224" s="256" t="s">
        <v>505</v>
      </c>
      <c r="M224" s="257"/>
      <c r="N224" s="181" t="s">
        <v>27</v>
      </c>
      <c r="O224" s="246"/>
      <c r="P224" s="217" t="s">
        <v>126</v>
      </c>
      <c r="Q224" s="217" t="s">
        <v>799</v>
      </c>
      <c r="R224" s="217" t="s">
        <v>10</v>
      </c>
      <c r="S224" s="218"/>
      <c r="T224" s="219"/>
      <c r="U224" s="219" t="s">
        <v>24</v>
      </c>
      <c r="V224" s="217" t="s">
        <v>24</v>
      </c>
      <c r="W224" s="247" t="s">
        <v>10</v>
      </c>
      <c r="X224" s="247" t="s">
        <v>10</v>
      </c>
      <c r="Y224" s="182" t="str">
        <f>_xlfn.LET(_xlpm.v,_xlfn.XLOOKUP(E224,'[1]SME09-01_LHM'!$D:$D,'[1]SME09-01_LHM'!$AL:$AL),IF(_xlpm.v=0,"",_xlpm.v))</f>
        <v/>
      </c>
      <c r="Z224" s="104" t="str">
        <f>_xlfn.LET(_xlpm.v,IF(ISTEXT(Y224),_xlfn.XLOOKUP(Y224,'JP-PINT'!A:A,'JP-PINT'!B:B),""),IF(ISERROR(_xlpm.v),"",_xlpm.v))</f>
        <v/>
      </c>
      <c r="AA224" s="181" t="s">
        <v>24</v>
      </c>
    </row>
    <row r="225" spans="1:27" s="258" customFormat="1" ht="12.75" customHeight="1">
      <c r="A225" s="4">
        <f>IF(ISTEXT(E225),_xlfn.XLOOKUP(E225,'[1]SME09-01_LHM'!$D:$D,'[1]SME09-01_LHM'!$B:$B))</f>
        <v>312.10000000000002</v>
      </c>
      <c r="B225" s="4">
        <f>_xlfn.XLOOKUP(F225,'[1]SME09-01_LHM'!$I:$I,'[1]SME09-01_LHM'!$B:$B)</f>
        <v>312.10000000000002</v>
      </c>
      <c r="C225" s="78"/>
      <c r="D225" s="259"/>
      <c r="E225" s="259" t="s">
        <v>2172</v>
      </c>
      <c r="F225" s="250" t="s">
        <v>2173</v>
      </c>
      <c r="G225" s="260" t="s">
        <v>1325</v>
      </c>
      <c r="H225" s="77" t="s">
        <v>8</v>
      </c>
      <c r="I225" s="261"/>
      <c r="J225" s="262"/>
      <c r="K225" s="262"/>
      <c r="L225" s="262"/>
      <c r="M225" s="262"/>
      <c r="N225" s="263"/>
      <c r="O225" s="264"/>
      <c r="P225" s="265"/>
      <c r="Q225" s="265" t="s">
        <v>162</v>
      </c>
      <c r="R225" s="265" t="s">
        <v>10</v>
      </c>
      <c r="S225" s="266" t="s">
        <v>161</v>
      </c>
      <c r="T225" s="267" t="s">
        <v>158</v>
      </c>
      <c r="U225" s="267"/>
      <c r="V225" s="265"/>
      <c r="Y225" s="182" t="str">
        <f>_xlfn.LET(_xlpm.v,_xlfn.XLOOKUP(E225,'[1]SME09-01_LHM'!$D:$D,'[1]SME09-01_LHM'!$AL:$AL),IF(_xlpm.v=0,"",_xlpm.v))</f>
        <v/>
      </c>
      <c r="Z225" s="104" t="str">
        <f>_xlfn.LET(_xlpm.v,IF(ISTEXT(Y225),_xlfn.XLOOKUP(Y225,'JP-PINT'!A:A,'JP-PINT'!B:B),""),IF(ISERROR(_xlpm.v),"",_xlpm.v))</f>
        <v/>
      </c>
      <c r="AA225" s="263"/>
    </row>
    <row r="226" spans="1:27" s="253" customFormat="1" ht="12.75" customHeight="1">
      <c r="A226" s="4">
        <f>IF(ISTEXT(E226),_xlfn.XLOOKUP(E226,'[1]SME09-01_LHM'!$D:$D,'[1]SME09-01_LHM'!$B:$B))</f>
        <v>313</v>
      </c>
      <c r="B226" s="4">
        <f>_xlfn.XLOOKUP(F226,'[1]SME09-01_LHM'!$I:$I,'[1]SME09-01_LHM'!$B:$B)</f>
        <v>313</v>
      </c>
      <c r="C226" s="22">
        <f>ROW()-25</f>
        <v>201</v>
      </c>
      <c r="D226" s="16" t="s">
        <v>1138</v>
      </c>
      <c r="E226" s="16" t="s">
        <v>1324</v>
      </c>
      <c r="F226" s="30" t="s">
        <v>1323</v>
      </c>
      <c r="G226" s="18" t="s">
        <v>1322</v>
      </c>
      <c r="H226" s="31" t="s">
        <v>8</v>
      </c>
      <c r="I226" s="70" t="s">
        <v>143</v>
      </c>
      <c r="J226" s="212" t="s">
        <v>505</v>
      </c>
      <c r="K226" s="212" t="s">
        <v>505</v>
      </c>
      <c r="L226" s="212" t="s">
        <v>505</v>
      </c>
      <c r="M226" s="248"/>
      <c r="N226" s="181" t="s">
        <v>27</v>
      </c>
      <c r="O226" s="7"/>
      <c r="P226" s="105" t="s">
        <v>126</v>
      </c>
      <c r="Q226" s="105" t="s">
        <v>156</v>
      </c>
      <c r="R226" s="105" t="s">
        <v>10</v>
      </c>
      <c r="S226" s="198" t="s">
        <v>159</v>
      </c>
      <c r="T226" s="71" t="s">
        <v>158</v>
      </c>
      <c r="U226" s="71" t="s">
        <v>24</v>
      </c>
      <c r="V226" s="66" t="s">
        <v>24</v>
      </c>
      <c r="W226" s="3" t="s">
        <v>10</v>
      </c>
      <c r="X226" s="3" t="s">
        <v>10</v>
      </c>
      <c r="Y226" s="182" t="str">
        <f>_xlfn.LET(_xlpm.v,_xlfn.XLOOKUP(E226,'[1]SME09-01_LHM'!$D:$D,'[1]SME09-01_LHM'!$AL:$AL),IF(_xlpm.v=0,"",_xlpm.v))</f>
        <v/>
      </c>
      <c r="Z226" s="104" t="str">
        <f>_xlfn.LET(_xlpm.v,IF(ISTEXT(Y226),_xlfn.XLOOKUP(Y226,'JP-PINT'!A:A,'JP-PINT'!B:B),""),IF(ISERROR(_xlpm.v),"",_xlpm.v))</f>
        <v/>
      </c>
      <c r="AA226" s="181" t="s">
        <v>24</v>
      </c>
    </row>
    <row r="227" spans="1:27" ht="12.75" customHeight="1">
      <c r="A227" s="4">
        <f>IF(ISTEXT(E227),_xlfn.XLOOKUP(E227,'[1]SME09-01_LHM'!$D:$D,'[1]SME09-01_LHM'!$B:$B))</f>
        <v>314</v>
      </c>
      <c r="B227" s="4">
        <f>_xlfn.XLOOKUP(F227,'[1]SME09-01_LHM'!$I:$I,'[1]SME09-01_LHM'!$B:$B)</f>
        <v>314</v>
      </c>
      <c r="C227" s="22">
        <f>ROW()-25</f>
        <v>202</v>
      </c>
      <c r="D227" s="31" t="s">
        <v>1138</v>
      </c>
      <c r="E227" s="31" t="s">
        <v>1321</v>
      </c>
      <c r="F227" s="30" t="s">
        <v>1320</v>
      </c>
      <c r="G227" s="18" t="s">
        <v>1319</v>
      </c>
      <c r="H227" s="31" t="s">
        <v>8</v>
      </c>
      <c r="I227" s="16" t="s">
        <v>143</v>
      </c>
      <c r="J227" s="212" t="s">
        <v>505</v>
      </c>
      <c r="K227" s="212" t="s">
        <v>505</v>
      </c>
      <c r="L227" s="212" t="s">
        <v>505</v>
      </c>
      <c r="M227" s="248"/>
      <c r="N227" s="181" t="s">
        <v>27</v>
      </c>
      <c r="O227" s="246"/>
      <c r="P227" s="105" t="s">
        <v>126</v>
      </c>
      <c r="Q227" s="105" t="s">
        <v>350</v>
      </c>
      <c r="R227" s="105" t="s">
        <v>10</v>
      </c>
      <c r="S227" s="104"/>
      <c r="T227" s="106"/>
      <c r="U227" s="106" t="s">
        <v>24</v>
      </c>
      <c r="V227" s="105" t="s">
        <v>24</v>
      </c>
      <c r="W227" s="247" t="s">
        <v>10</v>
      </c>
      <c r="X227" s="247" t="s">
        <v>10</v>
      </c>
      <c r="Y227" s="182" t="str">
        <f>_xlfn.LET(_xlpm.v,_xlfn.XLOOKUP(E227,'[1]SME09-01_LHM'!$D:$D,'[1]SME09-01_LHM'!$AL:$AL),IF(_xlpm.v=0,"",_xlpm.v))</f>
        <v/>
      </c>
      <c r="Z227" s="104" t="str">
        <f>_xlfn.LET(_xlpm.v,IF(ISTEXT(Y227),_xlfn.XLOOKUP(Y227,'JP-PINT'!A:A,'JP-PINT'!B:B),""),IF(ISERROR(_xlpm.v),"",_xlpm.v))</f>
        <v/>
      </c>
      <c r="AA227" s="181" t="s">
        <v>24</v>
      </c>
    </row>
    <row r="228" spans="1:27" s="253" customFormat="1" ht="12.75" customHeight="1">
      <c r="A228" s="4">
        <f>IF(ISTEXT(E228),_xlfn.XLOOKUP(E228,'[1]SME09-01_LHM'!$D:$D,'[1]SME09-01_LHM'!$B:$B))</f>
        <v>315</v>
      </c>
      <c r="B228" s="4">
        <f>_xlfn.XLOOKUP(F228,'[1]SME09-01_LHM'!$I:$I,'[1]SME09-01_LHM'!$B:$B)</f>
        <v>315</v>
      </c>
      <c r="C228" s="22">
        <f>ROW()-25</f>
        <v>203</v>
      </c>
      <c r="D228" s="254" t="s">
        <v>1138</v>
      </c>
      <c r="E228" s="212" t="s">
        <v>1318</v>
      </c>
      <c r="F228" s="255" t="s">
        <v>1317</v>
      </c>
      <c r="G228" s="255" t="s">
        <v>1316</v>
      </c>
      <c r="H228" s="31" t="s">
        <v>8</v>
      </c>
      <c r="I228" s="212" t="s">
        <v>143</v>
      </c>
      <c r="J228" s="212" t="s">
        <v>505</v>
      </c>
      <c r="K228" s="212" t="s">
        <v>505</v>
      </c>
      <c r="L228" s="212" t="s">
        <v>505</v>
      </c>
      <c r="M228" s="248"/>
      <c r="N228" s="181" t="s">
        <v>27</v>
      </c>
      <c r="O228" s="7"/>
      <c r="P228" s="217" t="s">
        <v>126</v>
      </c>
      <c r="Q228" s="217" t="s">
        <v>345</v>
      </c>
      <c r="R228" s="217" t="s">
        <v>10</v>
      </c>
      <c r="S228" s="218"/>
      <c r="T228" s="219" t="s">
        <v>1175</v>
      </c>
      <c r="U228" s="219" t="s">
        <v>24</v>
      </c>
      <c r="V228" s="217" t="s">
        <v>24</v>
      </c>
      <c r="W228" s="3" t="s">
        <v>10</v>
      </c>
      <c r="X228" s="3" t="s">
        <v>10</v>
      </c>
      <c r="Y228" s="182" t="str">
        <f>_xlfn.LET(_xlpm.v,_xlfn.XLOOKUP(E228,'[1]SME09-01_LHM'!$D:$D,'[1]SME09-01_LHM'!$AL:$AL),IF(_xlpm.v=0,"",_xlpm.v))</f>
        <v/>
      </c>
      <c r="Z228" s="104" t="str">
        <f>_xlfn.LET(_xlpm.v,IF(ISTEXT(Y228),_xlfn.XLOOKUP(Y228,'JP-PINT'!A:A,'JP-PINT'!B:B),""),IF(ISERROR(_xlpm.v),"",_xlpm.v))</f>
        <v/>
      </c>
      <c r="AA228" s="181" t="s">
        <v>24</v>
      </c>
    </row>
    <row r="229" spans="1:27" ht="12.75" customHeight="1">
      <c r="A229" s="4">
        <f>IF(ISTEXT(E229),_xlfn.XLOOKUP(E229,'[1]SME09-01_LHM'!$D:$D,'[1]SME09-01_LHM'!$B:$B))</f>
        <v>316</v>
      </c>
      <c r="B229" s="4">
        <f>_xlfn.XLOOKUP(F229,'[1]SME09-01_LHM'!$I:$I,'[1]SME09-01_LHM'!$B:$B)</f>
        <v>316</v>
      </c>
      <c r="C229" s="22">
        <f>ROW()-25</f>
        <v>204</v>
      </c>
      <c r="D229" s="212" t="s">
        <v>1138</v>
      </c>
      <c r="E229" s="16" t="s">
        <v>1315</v>
      </c>
      <c r="F229" s="18" t="s">
        <v>1314</v>
      </c>
      <c r="G229" s="18" t="s">
        <v>1313</v>
      </c>
      <c r="H229" s="31" t="s">
        <v>8</v>
      </c>
      <c r="I229" s="16" t="s">
        <v>143</v>
      </c>
      <c r="J229" s="35" t="s">
        <v>1240</v>
      </c>
      <c r="K229" s="35" t="s">
        <v>1240</v>
      </c>
      <c r="L229" s="35" t="s">
        <v>1240</v>
      </c>
      <c r="M229" s="186" t="s">
        <v>618</v>
      </c>
      <c r="N229" s="181" t="s">
        <v>27</v>
      </c>
      <c r="P229" s="217" t="s">
        <v>126</v>
      </c>
      <c r="Q229" s="104" t="s">
        <v>809</v>
      </c>
      <c r="R229" s="105" t="s">
        <v>10</v>
      </c>
      <c r="S229" s="104" t="s">
        <v>64</v>
      </c>
      <c r="T229" s="106" t="s">
        <v>63</v>
      </c>
      <c r="U229" s="106" t="s">
        <v>24</v>
      </c>
      <c r="V229" s="105" t="s">
        <v>24</v>
      </c>
      <c r="W229" s="3" t="s">
        <v>10</v>
      </c>
      <c r="X229" s="3" t="s">
        <v>10</v>
      </c>
      <c r="Y229" s="182" t="str">
        <f>_xlfn.LET(_xlpm.v,_xlfn.XLOOKUP(E229,'[1]SME09-01_LHM'!$D:$D,'[1]SME09-01_LHM'!$AL:$AL),IF(_xlpm.v=0,"",_xlpm.v))</f>
        <v/>
      </c>
      <c r="Z229" s="104" t="str">
        <f>_xlfn.LET(_xlpm.v,IF(ISTEXT(Y229),_xlfn.XLOOKUP(Y229,'JP-PINT'!A:A,'JP-PINT'!B:B),""),IF(ISERROR(_xlpm.v),"",_xlpm.v))</f>
        <v/>
      </c>
      <c r="AA229" s="181" t="s">
        <v>24</v>
      </c>
    </row>
    <row r="230" spans="1:27" s="6" customFormat="1" ht="12.75" customHeight="1">
      <c r="A230" s="4">
        <f>IF(ISTEXT(E230),_xlfn.XLOOKUP(E230,'[1]SME09-01_LHM'!$D:$D,'[1]SME09-01_LHM'!$B:$B))</f>
        <v>317</v>
      </c>
      <c r="B230" s="4">
        <f>_xlfn.XLOOKUP(F230,'[1]SME09-01_LHM'!$I:$I,'[1]SME09-01_LHM'!$B:$B)</f>
        <v>317</v>
      </c>
      <c r="C230" s="22">
        <f>ROW()-25</f>
        <v>205</v>
      </c>
      <c r="D230" s="212" t="s">
        <v>1138</v>
      </c>
      <c r="E230" s="16" t="s">
        <v>1312</v>
      </c>
      <c r="F230" s="18" t="s">
        <v>1311</v>
      </c>
      <c r="G230" s="18" t="s">
        <v>1310</v>
      </c>
      <c r="H230" s="16" t="s">
        <v>8</v>
      </c>
      <c r="I230" s="16" t="s">
        <v>143</v>
      </c>
      <c r="J230" s="181" t="s">
        <v>135</v>
      </c>
      <c r="K230" s="181" t="s">
        <v>135</v>
      </c>
      <c r="L230" s="181" t="s">
        <v>135</v>
      </c>
      <c r="M230" s="187"/>
      <c r="N230" s="181" t="s">
        <v>27</v>
      </c>
      <c r="O230" s="7"/>
      <c r="P230" s="217" t="s">
        <v>126</v>
      </c>
      <c r="Q230" s="104" t="s">
        <v>334</v>
      </c>
      <c r="R230" s="105" t="s">
        <v>10</v>
      </c>
      <c r="S230" s="104" t="s">
        <v>64</v>
      </c>
      <c r="T230" s="106" t="s">
        <v>63</v>
      </c>
      <c r="U230" s="106" t="s">
        <v>24</v>
      </c>
      <c r="V230" s="105" t="s">
        <v>24</v>
      </c>
      <c r="W230" s="3" t="s">
        <v>10</v>
      </c>
      <c r="X230" s="3" t="s">
        <v>10</v>
      </c>
      <c r="Y230" s="182" t="str">
        <f>_xlfn.LET(_xlpm.v,_xlfn.XLOOKUP(E230,'[1]SME09-01_LHM'!$D:$D,'[1]SME09-01_LHM'!$AL:$AL),IF(_xlpm.v=0,"",_xlpm.v))</f>
        <v/>
      </c>
      <c r="Z230" s="104" t="str">
        <f>_xlfn.LET(_xlpm.v,IF(ISTEXT(Y230),_xlfn.XLOOKUP(Y230,'JP-PINT'!A:A,'JP-PINT'!B:B),""),IF(ISERROR(_xlpm.v),"",_xlpm.v))</f>
        <v/>
      </c>
      <c r="AA230" s="181" t="s">
        <v>24</v>
      </c>
    </row>
    <row r="231" spans="1:27" s="6" customFormat="1" ht="12.75" customHeight="1">
      <c r="A231" s="4">
        <f>IF(ISTEXT(E231),_xlfn.XLOOKUP(E231,'[1]SME09-01_LHM'!$D:$D,'[1]SME09-01_LHM'!$B:$B))</f>
        <v>318</v>
      </c>
      <c r="B231" s="4">
        <f>_xlfn.XLOOKUP(F231,'[1]SME09-01_LHM'!$I:$I,'[1]SME09-01_LHM'!$B:$B)</f>
        <v>318</v>
      </c>
      <c r="C231" s="22">
        <f>ROW()-25</f>
        <v>206</v>
      </c>
      <c r="D231" s="26" t="s">
        <v>1138</v>
      </c>
      <c r="E231" s="208" t="s">
        <v>1309</v>
      </c>
      <c r="F231" s="93" t="s">
        <v>2174</v>
      </c>
      <c r="G231" s="25" t="s">
        <v>1308</v>
      </c>
      <c r="H231" s="26" t="s">
        <v>8</v>
      </c>
      <c r="I231" s="26" t="s">
        <v>143</v>
      </c>
      <c r="J231" s="199" t="s">
        <v>66</v>
      </c>
      <c r="K231" s="199" t="s">
        <v>66</v>
      </c>
      <c r="L231" s="199" t="s">
        <v>66</v>
      </c>
      <c r="M231" s="190"/>
      <c r="N231" s="181" t="s">
        <v>27</v>
      </c>
      <c r="O231" s="7"/>
      <c r="P231" s="105" t="s">
        <v>126</v>
      </c>
      <c r="Q231" s="104" t="s">
        <v>1307</v>
      </c>
      <c r="R231" s="105" t="s">
        <v>25</v>
      </c>
      <c r="S231" s="104"/>
      <c r="T231" s="106" t="s">
        <v>1175</v>
      </c>
      <c r="U231" s="106" t="s">
        <v>24</v>
      </c>
      <c r="V231" s="105" t="s">
        <v>24</v>
      </c>
      <c r="W231" s="3" t="s">
        <v>25</v>
      </c>
      <c r="X231" s="3" t="s">
        <v>25</v>
      </c>
      <c r="Y231" s="182" t="str">
        <f>_xlfn.LET(_xlpm.v,_xlfn.XLOOKUP(E231,'[1]SME09-01_LHM'!$D:$D,'[1]SME09-01_LHM'!$AL:$AL),IF(_xlpm.v=0,"",_xlpm.v))</f>
        <v/>
      </c>
      <c r="Z231" s="104" t="str">
        <f>_xlfn.LET(_xlpm.v,IF(ISTEXT(Y231),_xlfn.XLOOKUP(Y231,'JP-PINT'!A:A,'JP-PINT'!B:B),""),IF(ISERROR(_xlpm.v),"",_xlpm.v))</f>
        <v/>
      </c>
      <c r="AA231" s="181" t="s">
        <v>24</v>
      </c>
    </row>
    <row r="232" spans="1:27" s="6" customFormat="1" ht="12.75" customHeight="1">
      <c r="A232" s="4">
        <f>IF(ISTEXT(E232),_xlfn.XLOOKUP(E232,'[1]SME09-01_LHM'!$D:$D,'[1]SME09-01_LHM'!$B:$B))</f>
        <v>320</v>
      </c>
      <c r="B232" s="4">
        <f>_xlfn.XLOOKUP(F232,'[1]SME09-01_LHM'!$I:$I,'[1]SME09-01_LHM'!$B:$B)</f>
        <v>320</v>
      </c>
      <c r="C232" s="22">
        <f>ROW()-25</f>
        <v>207</v>
      </c>
      <c r="D232" s="16" t="s">
        <v>1138</v>
      </c>
      <c r="E232" s="16" t="s">
        <v>1306</v>
      </c>
      <c r="F232" s="18" t="s">
        <v>1305</v>
      </c>
      <c r="G232" s="18" t="s">
        <v>1304</v>
      </c>
      <c r="H232" s="16" t="s">
        <v>8</v>
      </c>
      <c r="I232" s="16" t="s">
        <v>143</v>
      </c>
      <c r="J232" s="256" t="s">
        <v>505</v>
      </c>
      <c r="K232" s="256" t="s">
        <v>505</v>
      </c>
      <c r="L232" s="256" t="s">
        <v>505</v>
      </c>
      <c r="M232" s="257"/>
      <c r="N232" s="181" t="s">
        <v>27</v>
      </c>
      <c r="O232" s="7"/>
      <c r="P232" s="105" t="s">
        <v>126</v>
      </c>
      <c r="Q232" s="104" t="s">
        <v>148</v>
      </c>
      <c r="R232" s="105" t="s">
        <v>10</v>
      </c>
      <c r="S232" s="104"/>
      <c r="T232" s="106"/>
      <c r="U232" s="106"/>
      <c r="V232" s="105"/>
      <c r="W232" s="3" t="s">
        <v>10</v>
      </c>
      <c r="X232" s="3" t="s">
        <v>10</v>
      </c>
      <c r="Y232" s="182" t="str">
        <f>_xlfn.LET(_xlpm.v,_xlfn.XLOOKUP(E232,'[1]SME09-01_LHM'!$D:$D,'[1]SME09-01_LHM'!$AL:$AL),IF(_xlpm.v=0,"",_xlpm.v))</f>
        <v/>
      </c>
      <c r="Z232" s="104" t="str">
        <f>_xlfn.LET(_xlpm.v,IF(ISTEXT(Y232),_xlfn.XLOOKUP(Y232,'JP-PINT'!A:A,'JP-PINT'!B:B),""),IF(ISERROR(_xlpm.v),"",_xlpm.v))</f>
        <v/>
      </c>
      <c r="AA232" s="181" t="s">
        <v>24</v>
      </c>
    </row>
    <row r="233" spans="1:27" ht="12.75" customHeight="1">
      <c r="A233" s="4">
        <f>IF(ISTEXT(E233),_xlfn.XLOOKUP(E233,'[1]SME09-01_LHM'!$D:$D,'[1]SME09-01_LHM'!$B:$B))</f>
        <v>321</v>
      </c>
      <c r="B233" s="4">
        <f>_xlfn.XLOOKUP(F233,'[1]SME09-01_LHM'!$I:$I,'[1]SME09-01_LHM'!$B:$B)</f>
        <v>321</v>
      </c>
      <c r="C233" s="22">
        <f>ROW()-25</f>
        <v>208</v>
      </c>
      <c r="D233" s="16" t="s">
        <v>1138</v>
      </c>
      <c r="E233" s="16" t="s">
        <v>1303</v>
      </c>
      <c r="F233" s="18" t="s">
        <v>1302</v>
      </c>
      <c r="G233" s="18" t="s">
        <v>1301</v>
      </c>
      <c r="H233" s="16" t="s">
        <v>8</v>
      </c>
      <c r="I233" s="16" t="s">
        <v>143</v>
      </c>
      <c r="J233" s="181" t="s">
        <v>66</v>
      </c>
      <c r="K233" s="181" t="s">
        <v>66</v>
      </c>
      <c r="L233" s="181" t="s">
        <v>66</v>
      </c>
      <c r="M233" s="187"/>
      <c r="N233" s="181" t="s">
        <v>27</v>
      </c>
      <c r="P233" s="105" t="s">
        <v>126</v>
      </c>
      <c r="Q233" s="104" t="s">
        <v>141</v>
      </c>
      <c r="R233" s="105" t="s">
        <v>10</v>
      </c>
      <c r="S233" s="104"/>
      <c r="T233" s="106"/>
      <c r="U233" s="106"/>
      <c r="V233" s="105"/>
      <c r="W233" s="3" t="s">
        <v>10</v>
      </c>
      <c r="X233" s="3" t="s">
        <v>10</v>
      </c>
      <c r="Y233" s="182" t="str">
        <f>_xlfn.LET(_xlpm.v,_xlfn.XLOOKUP(E233,'[1]SME09-01_LHM'!$D:$D,'[1]SME09-01_LHM'!$AL:$AL),IF(_xlpm.v=0,"",_xlpm.v))</f>
        <v/>
      </c>
      <c r="Z233" s="104" t="str">
        <f>_xlfn.LET(_xlpm.v,IF(ISTEXT(Y233),_xlfn.XLOOKUP(Y233,'JP-PINT'!A:A,'JP-PINT'!B:B),""),IF(ISERROR(_xlpm.v),"",_xlpm.v))</f>
        <v/>
      </c>
      <c r="AA233" s="181" t="s">
        <v>24</v>
      </c>
    </row>
    <row r="234" spans="1:27" ht="12.75" customHeight="1">
      <c r="A234" s="4">
        <f>IF(ISTEXT(E234),_xlfn.XLOOKUP(E234,'[1]SME09-01_LHM'!$D:$D,'[1]SME09-01_LHM'!$B:$B))</f>
        <v>322</v>
      </c>
      <c r="B234" s="4">
        <f>_xlfn.XLOOKUP(F234,'[1]SME09-01_LHM'!$I:$I,'[1]SME09-01_LHM'!$B:$B)</f>
        <v>322</v>
      </c>
      <c r="C234" s="22">
        <f>ROW()-25</f>
        <v>209</v>
      </c>
      <c r="D234" s="268" t="s">
        <v>1138</v>
      </c>
      <c r="E234" s="208" t="s">
        <v>1300</v>
      </c>
      <c r="F234" s="93" t="s">
        <v>2175</v>
      </c>
      <c r="G234" s="25" t="s">
        <v>1299</v>
      </c>
      <c r="H234" s="26" t="s">
        <v>43</v>
      </c>
      <c r="I234" s="26" t="s">
        <v>143</v>
      </c>
      <c r="J234" s="201" t="s">
        <v>18</v>
      </c>
      <c r="K234" s="201" t="s">
        <v>18</v>
      </c>
      <c r="L234" s="201" t="s">
        <v>18</v>
      </c>
      <c r="M234" s="189"/>
      <c r="N234" s="181" t="s">
        <v>221</v>
      </c>
      <c r="P234" s="217" t="s">
        <v>126</v>
      </c>
      <c r="Q234" s="104" t="s">
        <v>1298</v>
      </c>
      <c r="R234" s="105" t="s">
        <v>25</v>
      </c>
      <c r="S234" s="104"/>
      <c r="T234" s="106" t="s">
        <v>1175</v>
      </c>
      <c r="U234" s="106" t="s">
        <v>24</v>
      </c>
      <c r="V234" s="105" t="s">
        <v>24</v>
      </c>
      <c r="W234" s="3" t="s">
        <v>25</v>
      </c>
      <c r="X234" s="3" t="s">
        <v>25</v>
      </c>
      <c r="Y234" s="182" t="str">
        <f>_xlfn.LET(_xlpm.v,_xlfn.XLOOKUP(E234,'[1]SME09-01_LHM'!$D:$D,'[1]SME09-01_LHM'!$AL:$AL),IF(_xlpm.v=0,"",_xlpm.v))</f>
        <v>IBG-33</v>
      </c>
      <c r="Z234" s="104" t="str">
        <f>_xlfn.LET(_xlpm.v,IF(ISTEXT(Y234),_xlfn.XLOOKUP(Y234,'JP-PINT'!A:A,'JP-PINT'!B:B),""),IF(ISERROR(_xlpm.v),"",_xlpm.v))</f>
        <v>INVOICE TERMS</v>
      </c>
      <c r="AA234" s="23" t="s">
        <v>43</v>
      </c>
    </row>
    <row r="235" spans="1:27" ht="12.75" customHeight="1">
      <c r="A235" s="4">
        <f>IF(ISTEXT(E235),_xlfn.XLOOKUP(E235,'[1]SME09-01_LHM'!$D:$D,'[1]SME09-01_LHM'!$B:$B))</f>
        <v>324</v>
      </c>
      <c r="B235" s="4">
        <f>_xlfn.XLOOKUP(F235,'[1]SME09-01_LHM'!$I:$I,'[1]SME09-01_LHM'!$B:$B)</f>
        <v>324</v>
      </c>
      <c r="C235" s="22">
        <f>ROW()-25</f>
        <v>210</v>
      </c>
      <c r="D235" s="254" t="s">
        <v>1138</v>
      </c>
      <c r="E235" s="16" t="s">
        <v>1296</v>
      </c>
      <c r="F235" s="18" t="s">
        <v>1295</v>
      </c>
      <c r="G235" s="18" t="s">
        <v>1294</v>
      </c>
      <c r="H235" s="16" t="s">
        <v>8</v>
      </c>
      <c r="I235" s="16" t="s">
        <v>19</v>
      </c>
      <c r="J235" s="188" t="s">
        <v>18</v>
      </c>
      <c r="K235" s="181" t="s">
        <v>18</v>
      </c>
      <c r="L235" s="242"/>
      <c r="M235" s="186"/>
      <c r="N235" s="181" t="s">
        <v>72</v>
      </c>
      <c r="P235" s="217" t="s">
        <v>126</v>
      </c>
      <c r="Q235" s="104" t="s">
        <v>1293</v>
      </c>
      <c r="R235" s="105" t="s">
        <v>10</v>
      </c>
      <c r="S235" s="104"/>
      <c r="T235" s="106" t="s">
        <v>133</v>
      </c>
      <c r="U235" s="106" t="s">
        <v>24</v>
      </c>
      <c r="V235" s="105" t="s">
        <v>24</v>
      </c>
      <c r="W235" s="3" t="s">
        <v>10</v>
      </c>
      <c r="Y235" s="182" t="str">
        <f>_xlfn.LET(_xlpm.v,_xlfn.XLOOKUP(E235,'[1]SME09-01_LHM'!$D:$D,'[1]SME09-01_LHM'!$AL:$AL),IF(_xlpm.v=0,"",_xlpm.v))</f>
        <v>IBT-187</v>
      </c>
      <c r="Z235" s="104" t="str">
        <f>_xlfn.LET(_xlpm.v,IF(ISTEXT(Y235),_xlfn.XLOOKUP(Y235,'JP-PINT'!A:A,'JP-PINT'!B:B),""),IF(ISERROR(_xlpm.v),"",_xlpm.v))</f>
        <v>&gt; Terms payment instructions ID</v>
      </c>
      <c r="AA235" s="23" t="s">
        <v>1291</v>
      </c>
    </row>
    <row r="236" spans="1:27" ht="12.75" customHeight="1">
      <c r="A236" s="4">
        <f>IF(ISTEXT(E236),_xlfn.XLOOKUP(E236,'[1]SME09-01_LHM'!$D:$D,'[1]SME09-01_LHM'!$B:$B))</f>
        <v>325</v>
      </c>
      <c r="B236" s="4">
        <f>_xlfn.XLOOKUP(F236,'[1]SME09-01_LHM'!$I:$I,'[1]SME09-01_LHM'!$B:$B)</f>
        <v>325</v>
      </c>
      <c r="C236" s="22">
        <f>ROW()-25</f>
        <v>211</v>
      </c>
      <c r="D236" s="254" t="s">
        <v>1138</v>
      </c>
      <c r="E236" s="31" t="s">
        <v>1290</v>
      </c>
      <c r="F236" s="30" t="s">
        <v>1289</v>
      </c>
      <c r="G236" s="30" t="s">
        <v>1288</v>
      </c>
      <c r="H236" s="31" t="s">
        <v>8</v>
      </c>
      <c r="I236" s="16" t="s">
        <v>143</v>
      </c>
      <c r="J236" s="188" t="s">
        <v>18</v>
      </c>
      <c r="K236" s="181" t="s">
        <v>18</v>
      </c>
      <c r="L236" s="181" t="s">
        <v>18</v>
      </c>
      <c r="M236" s="186"/>
      <c r="N236" s="181" t="s">
        <v>72</v>
      </c>
      <c r="P236" s="217" t="s">
        <v>126</v>
      </c>
      <c r="Q236" s="104" t="s">
        <v>1287</v>
      </c>
      <c r="R236" s="105" t="s">
        <v>10</v>
      </c>
      <c r="S236" s="104" t="s">
        <v>1286</v>
      </c>
      <c r="T236" s="103" t="s">
        <v>13</v>
      </c>
      <c r="U236" s="103" t="s">
        <v>24</v>
      </c>
      <c r="V236" s="105" t="s">
        <v>24</v>
      </c>
      <c r="W236" s="3" t="s">
        <v>10</v>
      </c>
      <c r="X236" s="3" t="s">
        <v>10</v>
      </c>
      <c r="Y236" s="182" t="str">
        <f>_xlfn.LET(_xlpm.v,_xlfn.XLOOKUP(E236,'[1]SME09-01_LHM'!$D:$D,'[1]SME09-01_LHM'!$AL:$AL),IF(_xlpm.v=0,"",_xlpm.v))</f>
        <v>IBT-020</v>
      </c>
      <c r="Z236" s="104" t="str">
        <f>_xlfn.LET(_xlpm.v,IF(ISTEXT(Y236),_xlfn.XLOOKUP(Y236,'JP-PINT'!A:A,'JP-PINT'!B:B),""),IF(ISERROR(_xlpm.v),"",_xlpm.v))</f>
        <v>&gt; Payment terms</v>
      </c>
      <c r="AA236" s="23" t="s">
        <v>8</v>
      </c>
    </row>
    <row r="237" spans="1:27" ht="12.75" customHeight="1">
      <c r="A237" s="4">
        <f>IF(ISTEXT(E237),_xlfn.XLOOKUP(E237,'[1]SME09-01_LHM'!$D:$D,'[1]SME09-01_LHM'!$B:$B))</f>
        <v>326</v>
      </c>
      <c r="B237" s="4">
        <f>_xlfn.XLOOKUP(F237,'[1]SME09-01_LHM'!$I:$I,'[1]SME09-01_LHM'!$B:$B)</f>
        <v>326</v>
      </c>
      <c r="C237" s="22">
        <f>ROW()-25</f>
        <v>212</v>
      </c>
      <c r="D237" s="212" t="s">
        <v>1138</v>
      </c>
      <c r="E237" s="16" t="s">
        <v>1284</v>
      </c>
      <c r="F237" s="18" t="s">
        <v>1283</v>
      </c>
      <c r="G237" s="18" t="s">
        <v>1282</v>
      </c>
      <c r="H237" s="16" t="s">
        <v>8</v>
      </c>
      <c r="I237" s="16" t="s">
        <v>143</v>
      </c>
      <c r="J237" s="188" t="s">
        <v>18</v>
      </c>
      <c r="K237" s="181" t="s">
        <v>18</v>
      </c>
      <c r="L237" s="181" t="s">
        <v>18</v>
      </c>
      <c r="M237" s="195" t="s">
        <v>73</v>
      </c>
      <c r="N237" s="181" t="s">
        <v>72</v>
      </c>
      <c r="P237" s="217" t="s">
        <v>126</v>
      </c>
      <c r="Q237" s="104" t="s">
        <v>1281</v>
      </c>
      <c r="R237" s="105" t="s">
        <v>10</v>
      </c>
      <c r="S237" s="104" t="s">
        <v>1280</v>
      </c>
      <c r="T237" s="106" t="s">
        <v>13</v>
      </c>
      <c r="U237" s="106" t="s">
        <v>24</v>
      </c>
      <c r="V237" s="105" t="s">
        <v>24</v>
      </c>
      <c r="W237" s="3" t="s">
        <v>10</v>
      </c>
      <c r="X237" s="3" t="s">
        <v>10</v>
      </c>
      <c r="Y237" s="182" t="str">
        <f>_xlfn.LET(_xlpm.v,_xlfn.XLOOKUP(E237,'[1]SME09-01_LHM'!$D:$D,'[1]SME09-01_LHM'!$AL:$AL),IF(_xlpm.v=0,"",_xlpm.v))</f>
        <v>IBT-009</v>
      </c>
      <c r="Z237" s="104" t="str">
        <f>_xlfn.LET(_xlpm.v,IF(ISTEXT(Y237),_xlfn.XLOOKUP(Y237,'JP-PINT'!A:A,'JP-PINT'!B:B),""),IF(ISERROR(_xlpm.v),"",_xlpm.v))</f>
        <v>Payment due date</v>
      </c>
      <c r="AA237" s="23" t="s">
        <v>8</v>
      </c>
    </row>
    <row r="238" spans="1:27" ht="12.75" customHeight="1">
      <c r="A238" s="4">
        <f>IF(ISTEXT(E238),_xlfn.XLOOKUP(E238,'[1]SME09-01_LHM'!$D:$D,'[1]SME09-01_LHM'!$B:$B))</f>
        <v>327</v>
      </c>
      <c r="B238" s="4">
        <f>_xlfn.XLOOKUP(F238,'[1]SME09-01_LHM'!$I:$I,'[1]SME09-01_LHM'!$B:$B)</f>
        <v>327</v>
      </c>
      <c r="C238" s="22">
        <f>ROW()-25</f>
        <v>213</v>
      </c>
      <c r="D238" s="212" t="s">
        <v>1138</v>
      </c>
      <c r="E238" s="16" t="s">
        <v>1278</v>
      </c>
      <c r="F238" s="18" t="s">
        <v>1277</v>
      </c>
      <c r="G238" s="18" t="s">
        <v>1276</v>
      </c>
      <c r="H238" s="16" t="s">
        <v>8</v>
      </c>
      <c r="I238" s="16" t="s">
        <v>143</v>
      </c>
      <c r="J238" s="188" t="s">
        <v>18</v>
      </c>
      <c r="K238" s="181" t="s">
        <v>18</v>
      </c>
      <c r="L238" s="242"/>
      <c r="M238" s="186"/>
      <c r="N238" s="181" t="s">
        <v>27</v>
      </c>
      <c r="P238" s="217" t="s">
        <v>126</v>
      </c>
      <c r="Q238" s="104" t="s">
        <v>1275</v>
      </c>
      <c r="R238" s="105" t="s">
        <v>10</v>
      </c>
      <c r="S238" s="104" t="s">
        <v>1133</v>
      </c>
      <c r="T238" s="106" t="s">
        <v>158</v>
      </c>
      <c r="U238" s="106" t="s">
        <v>24</v>
      </c>
      <c r="V238" s="105" t="s">
        <v>24</v>
      </c>
      <c r="W238" s="3" t="s">
        <v>10</v>
      </c>
      <c r="Y238" s="182" t="str">
        <f>_xlfn.LET(_xlpm.v,_xlfn.XLOOKUP(E238,'[1]SME09-01_LHM'!$D:$D,'[1]SME09-01_LHM'!$AL:$AL),IF(_xlpm.v=0,"",_xlpm.v))</f>
        <v/>
      </c>
      <c r="Z238" s="104" t="str">
        <f>_xlfn.LET(_xlpm.v,IF(ISTEXT(Y238),_xlfn.XLOOKUP(Y238,'JP-PINT'!A:A,'JP-PINT'!B:B),""),IF(ISERROR(_xlpm.v),"",_xlpm.v))</f>
        <v/>
      </c>
      <c r="AA238" s="181" t="s">
        <v>24</v>
      </c>
    </row>
    <row r="239" spans="1:27" ht="12.75" customHeight="1">
      <c r="A239" s="4">
        <f>IF(ISTEXT(E239),_xlfn.XLOOKUP(E239,'[1]SME09-01_LHM'!$D:$D,'[1]SME09-01_LHM'!$B:$B))</f>
        <v>328</v>
      </c>
      <c r="B239" s="4">
        <f>_xlfn.XLOOKUP(F239,'[1]SME09-01_LHM'!$I:$I,'[1]SME09-01_LHM'!$B:$B)</f>
        <v>328</v>
      </c>
      <c r="C239" s="22">
        <f>ROW()-25</f>
        <v>214</v>
      </c>
      <c r="D239" s="212" t="s">
        <v>1138</v>
      </c>
      <c r="E239" s="16" t="s">
        <v>1274</v>
      </c>
      <c r="F239" s="18" t="s">
        <v>1273</v>
      </c>
      <c r="G239" s="18" t="s">
        <v>1272</v>
      </c>
      <c r="H239" s="16" t="s">
        <v>8</v>
      </c>
      <c r="I239" s="16" t="s">
        <v>52</v>
      </c>
      <c r="J239" s="188" t="s">
        <v>18</v>
      </c>
      <c r="K239" s="181" t="s">
        <v>18</v>
      </c>
      <c r="L239" s="242"/>
      <c r="M239" s="186"/>
      <c r="N239" s="181" t="s">
        <v>17</v>
      </c>
      <c r="P239" s="217" t="s">
        <v>126</v>
      </c>
      <c r="Q239" s="104" t="s">
        <v>1271</v>
      </c>
      <c r="R239" s="105" t="s">
        <v>10</v>
      </c>
      <c r="S239" s="104" t="s">
        <v>740</v>
      </c>
      <c r="T239" s="106" t="s">
        <v>13</v>
      </c>
      <c r="U239" s="106" t="s">
        <v>24</v>
      </c>
      <c r="V239" s="105" t="s">
        <v>24</v>
      </c>
      <c r="W239" s="3" t="s">
        <v>10</v>
      </c>
      <c r="Y239" s="182" t="str">
        <f>_xlfn.LET(_xlpm.v,_xlfn.XLOOKUP(E239,'[1]SME09-01_LHM'!$D:$D,'[1]SME09-01_LHM'!$AL:$AL),IF(_xlpm.v=0,"",_xlpm.v))</f>
        <v>IBT-176</v>
      </c>
      <c r="Z239" s="104" t="str">
        <f>_xlfn.LET(_xlpm.v,IF(ISTEXT(Y239),_xlfn.XLOOKUP(Y239,'JP-PINT'!A:A,'JP-PINT'!B:B),""),IF(ISERROR(_xlpm.v),"",_xlpm.v))</f>
        <v>&gt; Terms amount</v>
      </c>
      <c r="AA239" s="23" t="s">
        <v>8</v>
      </c>
    </row>
    <row r="240" spans="1:27" ht="12.75" customHeight="1">
      <c r="A240" s="4">
        <f>IF(ISTEXT(E240),_xlfn.XLOOKUP(E240,'[1]SME09-01_LHM'!$D:$D,'[1]SME09-01_LHM'!$B:$B))</f>
        <v>329</v>
      </c>
      <c r="B240" s="4">
        <f>_xlfn.XLOOKUP(F240,'[1]SME09-01_LHM'!$I:$I,'[1]SME09-01_LHM'!$B:$B)</f>
        <v>329</v>
      </c>
      <c r="C240" s="22">
        <f>ROW()-25</f>
        <v>215</v>
      </c>
      <c r="D240" s="26" t="s">
        <v>1138</v>
      </c>
      <c r="E240" s="26" t="s">
        <v>1269</v>
      </c>
      <c r="F240" s="93" t="s">
        <v>2176</v>
      </c>
      <c r="G240" s="25" t="s">
        <v>1268</v>
      </c>
      <c r="H240" s="26" t="s">
        <v>8</v>
      </c>
      <c r="I240" s="26" t="s">
        <v>143</v>
      </c>
      <c r="J240" s="201" t="s">
        <v>66</v>
      </c>
      <c r="K240" s="199" t="s">
        <v>66</v>
      </c>
      <c r="L240" s="199" t="s">
        <v>66</v>
      </c>
      <c r="M240" s="189"/>
      <c r="N240" s="181" t="s">
        <v>27</v>
      </c>
      <c r="P240" s="105" t="s">
        <v>126</v>
      </c>
      <c r="Q240" s="105" t="s">
        <v>1267</v>
      </c>
      <c r="R240" s="105" t="s">
        <v>25</v>
      </c>
      <c r="S240" s="104"/>
      <c r="T240" s="106" t="s">
        <v>1175</v>
      </c>
      <c r="U240" s="106" t="s">
        <v>24</v>
      </c>
      <c r="V240" s="105" t="s">
        <v>24</v>
      </c>
      <c r="W240" s="3" t="s">
        <v>25</v>
      </c>
      <c r="X240" s="3" t="s">
        <v>25</v>
      </c>
      <c r="Y240" s="182" t="str">
        <f>_xlfn.LET(_xlpm.v,_xlfn.XLOOKUP(E240,'[1]SME09-01_LHM'!$D:$D,'[1]SME09-01_LHM'!$AL:$AL),IF(_xlpm.v=0,"",_xlpm.v))</f>
        <v/>
      </c>
      <c r="Z240" s="104" t="str">
        <f>_xlfn.LET(_xlpm.v,IF(ISTEXT(Y240),_xlfn.XLOOKUP(Y240,'JP-PINT'!A:A,'JP-PINT'!B:B),""),IF(ISERROR(_xlpm.v),"",_xlpm.v))</f>
        <v/>
      </c>
      <c r="AA240" s="181" t="s">
        <v>24</v>
      </c>
    </row>
    <row r="241" spans="1:27" ht="12.75" customHeight="1">
      <c r="A241" s="4">
        <f>IF(ISTEXT(E241),_xlfn.XLOOKUP(E241,'[1]SME09-01_LHM'!$D:$D,'[1]SME09-01_LHM'!$B:$B))</f>
        <v>331</v>
      </c>
      <c r="B241" s="4">
        <f>_xlfn.XLOOKUP(F241,'[1]SME09-01_LHM'!$I:$I,'[1]SME09-01_LHM'!$B:$B)</f>
        <v>331</v>
      </c>
      <c r="C241" s="22">
        <f>ROW()-25</f>
        <v>216</v>
      </c>
      <c r="D241" s="16" t="s">
        <v>1208</v>
      </c>
      <c r="E241" s="35" t="s">
        <v>1266</v>
      </c>
      <c r="F241" s="18" t="s">
        <v>1265</v>
      </c>
      <c r="G241" s="18" t="s">
        <v>2179</v>
      </c>
      <c r="H241" s="16" t="s">
        <v>8</v>
      </c>
      <c r="I241" s="39" t="s">
        <v>127</v>
      </c>
      <c r="J241" s="188" t="s">
        <v>18</v>
      </c>
      <c r="K241" s="181" t="s">
        <v>18</v>
      </c>
      <c r="L241" s="181" t="s">
        <v>18</v>
      </c>
      <c r="M241" s="186"/>
      <c r="N241" s="181"/>
      <c r="P241" s="105" t="s">
        <v>126</v>
      </c>
      <c r="Q241" s="105" t="s">
        <v>1264</v>
      </c>
      <c r="R241" s="105" t="s">
        <v>10</v>
      </c>
      <c r="S241" s="104"/>
      <c r="T241" s="106"/>
      <c r="U241" s="106"/>
      <c r="V241" s="105"/>
      <c r="W241" s="3" t="s">
        <v>10</v>
      </c>
      <c r="X241" s="3" t="s">
        <v>10</v>
      </c>
      <c r="Y241" s="182" t="str">
        <f>_xlfn.LET(_xlpm.v,_xlfn.XLOOKUP(E241,'[1]SME09-01_LHM'!$D:$D,'[1]SME09-01_LHM'!$AL:$AL),IF(_xlpm.v=0,"",_xlpm.v))</f>
        <v>IBT-108</v>
      </c>
      <c r="Z241" s="104" t="str">
        <f>_xlfn.LET(_xlpm.v,IF(ISTEXT(Y241),_xlfn.XLOOKUP(Y241,'JP-PINT'!A:A,'JP-PINT'!B:B),""),IF(ISERROR(_xlpm.v),"",_xlpm.v))</f>
        <v>&gt; Sum of charges on document level</v>
      </c>
      <c r="AA241" s="181"/>
    </row>
    <row r="242" spans="1:27" ht="12.75" customHeight="1">
      <c r="A242" s="4">
        <f>IF(ISTEXT(E242),_xlfn.XLOOKUP(E242,'[1]SME09-01_LHM'!$D:$D,'[1]SME09-01_LHM'!$B:$B))</f>
        <v>332</v>
      </c>
      <c r="B242" s="4">
        <f>_xlfn.XLOOKUP(F242,'[1]SME09-01_LHM'!$I:$I,'[1]SME09-01_LHM'!$B:$B)</f>
        <v>332</v>
      </c>
      <c r="C242" s="22">
        <f>ROW()-25</f>
        <v>217</v>
      </c>
      <c r="D242" s="16" t="s">
        <v>1208</v>
      </c>
      <c r="E242" s="35" t="s">
        <v>1263</v>
      </c>
      <c r="F242" s="18" t="s">
        <v>1262</v>
      </c>
      <c r="G242" s="18" t="s">
        <v>2180</v>
      </c>
      <c r="H242" s="16" t="s">
        <v>8</v>
      </c>
      <c r="I242" s="39" t="s">
        <v>127</v>
      </c>
      <c r="J242" s="188" t="s">
        <v>18</v>
      </c>
      <c r="K242" s="181" t="s">
        <v>18</v>
      </c>
      <c r="L242" s="181" t="s">
        <v>18</v>
      </c>
      <c r="M242" s="186"/>
      <c r="N242" s="181"/>
      <c r="P242" s="105" t="s">
        <v>126</v>
      </c>
      <c r="Q242" s="105" t="s">
        <v>1261</v>
      </c>
      <c r="R242" s="105" t="s">
        <v>10</v>
      </c>
      <c r="S242" s="104"/>
      <c r="T242" s="106"/>
      <c r="U242" s="106"/>
      <c r="V242" s="105"/>
      <c r="W242" s="3" t="s">
        <v>10</v>
      </c>
      <c r="X242" s="3" t="s">
        <v>10</v>
      </c>
      <c r="Y242" s="182" t="str">
        <f>_xlfn.LET(_xlpm.v,_xlfn.XLOOKUP(E242,'[1]SME09-01_LHM'!$D:$D,'[1]SME09-01_LHM'!$AL:$AL),IF(_xlpm.v=0,"",_xlpm.v))</f>
        <v>IBT-107</v>
      </c>
      <c r="Z242" s="104" t="str">
        <f>_xlfn.LET(_xlpm.v,IF(ISTEXT(Y242),_xlfn.XLOOKUP(Y242,'JP-PINT'!A:A,'JP-PINT'!B:B),""),IF(ISERROR(_xlpm.v),"",_xlpm.v))</f>
        <v>&gt; Sum of allowances on document level</v>
      </c>
      <c r="AA242" s="181"/>
    </row>
    <row r="243" spans="1:27" ht="12.75" customHeight="1">
      <c r="A243" s="4">
        <f>IF(ISTEXT(E243),_xlfn.XLOOKUP(E243,'[1]SME09-01_LHM'!$D:$D,'[1]SME09-01_LHM'!$B:$B))</f>
        <v>0</v>
      </c>
      <c r="B243" s="4">
        <f>_xlfn.XLOOKUP(F243,'[1]SME09-01_LHM'!$I:$I,'[1]SME09-01_LHM'!$B:$B)</f>
        <v>0</v>
      </c>
      <c r="C243" s="100"/>
      <c r="D243" s="67"/>
      <c r="E243" s="47" t="s">
        <v>2184</v>
      </c>
      <c r="F243" s="93" t="s">
        <v>2177</v>
      </c>
      <c r="G243" s="18" t="s">
        <v>2178</v>
      </c>
      <c r="H243" s="16"/>
      <c r="I243" s="16"/>
      <c r="J243" s="188"/>
      <c r="K243" s="181"/>
      <c r="L243" s="181"/>
      <c r="M243" s="186"/>
      <c r="N243" s="181"/>
      <c r="P243" s="105"/>
      <c r="Q243" s="105" t="s">
        <v>2183</v>
      </c>
      <c r="R243" s="105" t="s">
        <v>10</v>
      </c>
      <c r="S243" s="104"/>
      <c r="T243" s="106"/>
      <c r="U243" s="106"/>
      <c r="V243" s="105"/>
      <c r="Y243" s="182" t="str">
        <f>_xlfn.LET(_xlpm.v,_xlfn.XLOOKUP(E243,'[1]SME09-01_LHM'!$D:$D,'[1]SME09-01_LHM'!$AL:$AL),IF(_xlpm.v=0,"",_xlpm.v))</f>
        <v>IBT-109</v>
      </c>
      <c r="Z243" s="104" t="str">
        <f>_xlfn.LET(_xlpm.v,IF(ISTEXT(Y243),_xlfn.XLOOKUP(Y243,'JP-PINT'!A:A,'JP-PINT'!B:B),""),IF(ISERROR(_xlpm.v),"",_xlpm.v))</f>
        <v>&gt; Invoice total amount without TAX</v>
      </c>
      <c r="AA243" s="181"/>
    </row>
    <row r="244" spans="1:27" ht="12.75" customHeight="1">
      <c r="A244" s="4">
        <f>IF(ISTEXT(E244),_xlfn.XLOOKUP(E244,'[1]SME09-01_LHM'!$D:$D,'[1]SME09-01_LHM'!$B:$B))</f>
        <v>333</v>
      </c>
      <c r="B244" s="4">
        <f>_xlfn.XLOOKUP(F244,'[1]SME09-01_LHM'!$I:$I,'[1]SME09-01_LHM'!$B:$B)</f>
        <v>333</v>
      </c>
      <c r="C244" s="22">
        <f>ROW()-25</f>
        <v>219</v>
      </c>
      <c r="D244" s="16" t="s">
        <v>1138</v>
      </c>
      <c r="E244" s="16" t="s">
        <v>1260</v>
      </c>
      <c r="F244" s="18" t="s">
        <v>1259</v>
      </c>
      <c r="G244" s="18" t="s">
        <v>2181</v>
      </c>
      <c r="H244" s="16" t="s">
        <v>8</v>
      </c>
      <c r="I244" s="16" t="s">
        <v>143</v>
      </c>
      <c r="J244" s="188" t="s">
        <v>18</v>
      </c>
      <c r="K244" s="181" t="s">
        <v>18</v>
      </c>
      <c r="L244" s="181" t="s">
        <v>18</v>
      </c>
      <c r="M244" s="186"/>
      <c r="N244" s="181" t="s">
        <v>27</v>
      </c>
      <c r="P244" s="105" t="s">
        <v>126</v>
      </c>
      <c r="Q244" s="105" t="s">
        <v>1258</v>
      </c>
      <c r="R244" s="105" t="s">
        <v>10</v>
      </c>
      <c r="S244" s="104"/>
      <c r="T244" s="106"/>
      <c r="U244" s="106"/>
      <c r="V244" s="105"/>
      <c r="W244" s="3" t="s">
        <v>10</v>
      </c>
      <c r="X244" s="3" t="s">
        <v>10</v>
      </c>
      <c r="Y244" s="182" t="str">
        <f>_xlfn.LET(_xlpm.v,_xlfn.XLOOKUP(E244,'[1]SME09-01_LHM'!$D:$D,'[1]SME09-01_LHM'!$AL:$AL),IF(_xlpm.v=0,"",_xlpm.v))</f>
        <v>IBT-110</v>
      </c>
      <c r="Z244" s="104" t="str">
        <f>_xlfn.LET(_xlpm.v,IF(ISTEXT(Y244),_xlfn.XLOOKUP(Y244,'JP-PINT'!A:A,'JP-PINT'!B:B),""),IF(ISERROR(_xlpm.v),"",_xlpm.v))</f>
        <v>&gt; Invoice total TAX amount</v>
      </c>
      <c r="AA244" s="181" t="s">
        <v>24</v>
      </c>
    </row>
    <row r="245" spans="1:27" ht="12.75" customHeight="1">
      <c r="A245" s="4">
        <f>IF(ISTEXT(E245),_xlfn.XLOOKUP(E245,'[1]SME09-01_LHM'!$D:$D,'[1]SME09-01_LHM'!$B:$B))</f>
        <v>334</v>
      </c>
      <c r="B245" s="4">
        <f>_xlfn.XLOOKUP(F245,'[1]SME09-01_LHM'!$I:$I,'[1]SME09-01_LHM'!$B:$B)</f>
        <v>334</v>
      </c>
      <c r="C245" s="22">
        <f>ROW()-25</f>
        <v>220</v>
      </c>
      <c r="D245" s="16" t="s">
        <v>1138</v>
      </c>
      <c r="E245" s="16" t="s">
        <v>1257</v>
      </c>
      <c r="F245" s="18" t="s">
        <v>1256</v>
      </c>
      <c r="G245" s="18" t="s">
        <v>2182</v>
      </c>
      <c r="H245" s="16" t="s">
        <v>8</v>
      </c>
      <c r="I245" s="16" t="s">
        <v>143</v>
      </c>
      <c r="J245" s="188" t="s">
        <v>18</v>
      </c>
      <c r="K245" s="181" t="s">
        <v>18</v>
      </c>
      <c r="L245" s="181" t="s">
        <v>18</v>
      </c>
      <c r="M245" s="186"/>
      <c r="N245" s="181" t="s">
        <v>27</v>
      </c>
      <c r="P245" s="105" t="s">
        <v>126</v>
      </c>
      <c r="Q245" s="105" t="s">
        <v>1176</v>
      </c>
      <c r="R245" s="105" t="s">
        <v>10</v>
      </c>
      <c r="S245" s="104"/>
      <c r="T245" s="106"/>
      <c r="U245" s="106"/>
      <c r="V245" s="105"/>
      <c r="W245" s="3" t="s">
        <v>10</v>
      </c>
      <c r="X245" s="3" t="s">
        <v>10</v>
      </c>
      <c r="Y245" s="182" t="str">
        <f>_xlfn.LET(_xlpm.v,_xlfn.XLOOKUP(E245,'[1]SME09-01_LHM'!$D:$D,'[1]SME09-01_LHM'!$AL:$AL),IF(_xlpm.v=0,"",_xlpm.v))</f>
        <v>IBT-112</v>
      </c>
      <c r="Z245" s="104" t="str">
        <f>_xlfn.LET(_xlpm.v,IF(ISTEXT(Y245),_xlfn.XLOOKUP(Y245,'JP-PINT'!A:A,'JP-PINT'!B:B),""),IF(ISERROR(_xlpm.v),"",_xlpm.v))</f>
        <v>&gt; Invoice total amount with TAX</v>
      </c>
      <c r="AA245" s="181" t="s">
        <v>24</v>
      </c>
    </row>
    <row r="246" spans="1:27" ht="12.75" customHeight="1">
      <c r="A246" s="4">
        <f>IF(ISTEXT(E246),_xlfn.XLOOKUP(E246,'[1]SME09-01_LHM'!$D:$D,'[1]SME09-01_LHM'!$B:$B))</f>
        <v>335</v>
      </c>
      <c r="B246" s="4">
        <f>_xlfn.XLOOKUP(F246,'[1]SME09-01_LHM'!$I:$I,'[1]SME09-01_LHM'!$B:$B)</f>
        <v>335</v>
      </c>
      <c r="C246" s="22">
        <f>ROW()-25</f>
        <v>221</v>
      </c>
      <c r="D246" s="16" t="s">
        <v>1138</v>
      </c>
      <c r="E246" s="16" t="s">
        <v>1255</v>
      </c>
      <c r="F246" s="18" t="s">
        <v>1254</v>
      </c>
      <c r="G246" s="18" t="s">
        <v>1253</v>
      </c>
      <c r="H246" s="16" t="s">
        <v>8</v>
      </c>
      <c r="I246" s="16" t="s">
        <v>143</v>
      </c>
      <c r="J246" s="188" t="s">
        <v>18</v>
      </c>
      <c r="K246" s="181" t="s">
        <v>18</v>
      </c>
      <c r="L246" s="181" t="s">
        <v>18</v>
      </c>
      <c r="M246" s="186"/>
      <c r="N246" s="181" t="s">
        <v>46</v>
      </c>
      <c r="P246" s="105" t="s">
        <v>126</v>
      </c>
      <c r="Q246" s="105" t="s">
        <v>1171</v>
      </c>
      <c r="R246" s="105" t="s">
        <v>10</v>
      </c>
      <c r="S246" s="104"/>
      <c r="T246" s="106"/>
      <c r="U246" s="106"/>
      <c r="V246" s="105"/>
      <c r="W246" s="3" t="s">
        <v>10</v>
      </c>
      <c r="X246" s="3" t="s">
        <v>10</v>
      </c>
      <c r="Y246" s="182" t="str">
        <f>_xlfn.LET(_xlpm.v,_xlfn.XLOOKUP(E246,'[1]SME09-01_LHM'!$D:$D,'[1]SME09-01_LHM'!$AL:$AL),IF(_xlpm.v=0,"",_xlpm.v))</f>
        <v>IBT-113</v>
      </c>
      <c r="Z246" s="104" t="str">
        <f>_xlfn.LET(_xlpm.v,IF(ISTEXT(Y246),_xlfn.XLOOKUP(Y246,'JP-PINT'!A:A,'JP-PINT'!B:B),""),IF(ISERROR(_xlpm.v),"",_xlpm.v))</f>
        <v>&gt; Paid amount</v>
      </c>
      <c r="AA246" s="23" t="s">
        <v>8</v>
      </c>
    </row>
    <row r="247" spans="1:27" ht="12.75" customHeight="1">
      <c r="A247" s="4">
        <f>IF(ISTEXT(E247),_xlfn.XLOOKUP(E247,'[1]SME09-01_LHM'!$D:$D,'[1]SME09-01_LHM'!$B:$B))</f>
        <v>336</v>
      </c>
      <c r="B247" s="4">
        <f>_xlfn.XLOOKUP(F247,'[1]SME09-01_LHM'!$I:$I,'[1]SME09-01_LHM'!$B:$B)</f>
        <v>336</v>
      </c>
      <c r="C247" s="22">
        <f>ROW()-25</f>
        <v>222</v>
      </c>
      <c r="D247" s="16" t="s">
        <v>1138</v>
      </c>
      <c r="E247" s="16" t="s">
        <v>1251</v>
      </c>
      <c r="F247" s="18" t="s">
        <v>1250</v>
      </c>
      <c r="G247" s="18" t="s">
        <v>1249</v>
      </c>
      <c r="H247" s="16" t="s">
        <v>8</v>
      </c>
      <c r="I247" s="16" t="s">
        <v>143</v>
      </c>
      <c r="J247" s="188" t="s">
        <v>439</v>
      </c>
      <c r="K247" s="181" t="s">
        <v>439</v>
      </c>
      <c r="L247" s="181" t="s">
        <v>439</v>
      </c>
      <c r="M247" s="195" t="s">
        <v>73</v>
      </c>
      <c r="N247" s="181" t="s">
        <v>183</v>
      </c>
      <c r="O247" s="7" t="s">
        <v>439</v>
      </c>
      <c r="P247" s="105" t="s">
        <v>126</v>
      </c>
      <c r="Q247" s="105" t="s">
        <v>1167</v>
      </c>
      <c r="R247" s="105" t="s">
        <v>10</v>
      </c>
      <c r="S247" s="104"/>
      <c r="T247" s="106"/>
      <c r="U247" s="106"/>
      <c r="V247" s="105"/>
      <c r="W247" s="3" t="s">
        <v>10</v>
      </c>
      <c r="X247" s="3" t="s">
        <v>10</v>
      </c>
      <c r="Y247" s="182" t="str">
        <f>_xlfn.LET(_xlpm.v,_xlfn.XLOOKUP(E247,'[1]SME09-01_LHM'!$D:$D,'[1]SME09-01_LHM'!$AL:$AL),IF(_xlpm.v=0,"",_xlpm.v))</f>
        <v>IBT-115</v>
      </c>
      <c r="Z247" s="104" t="str">
        <f>_xlfn.LET(_xlpm.v,IF(ISTEXT(Y247),_xlfn.XLOOKUP(Y247,'JP-PINT'!A:A,'JP-PINT'!B:B),""),IF(ISERROR(_xlpm.v),"",_xlpm.v))</f>
        <v>&gt; Amount due for payment</v>
      </c>
      <c r="AA247" s="23" t="s">
        <v>31</v>
      </c>
    </row>
    <row r="248" spans="1:27" ht="12.75" customHeight="1">
      <c r="A248" s="4">
        <f>IF(ISTEXT(E248),_xlfn.XLOOKUP(E248,'[1]SME09-01_LHM'!$D:$D,'[1]SME09-01_LHM'!$B:$B))</f>
        <v>337</v>
      </c>
      <c r="B248" s="4">
        <f>_xlfn.XLOOKUP(F248,'[1]SME09-01_LHM'!$I:$I,'[1]SME09-01_LHM'!$B:$B)</f>
        <v>337</v>
      </c>
      <c r="C248" s="22">
        <f>ROW()-25</f>
        <v>223</v>
      </c>
      <c r="D248" s="16" t="s">
        <v>1138</v>
      </c>
      <c r="E248" s="16" t="s">
        <v>1247</v>
      </c>
      <c r="F248" s="18" t="s">
        <v>1246</v>
      </c>
      <c r="G248" s="18" t="s">
        <v>1245</v>
      </c>
      <c r="H248" s="16" t="s">
        <v>8</v>
      </c>
      <c r="I248" s="16" t="s">
        <v>143</v>
      </c>
      <c r="J248" s="188" t="s">
        <v>18</v>
      </c>
      <c r="K248" s="181" t="s">
        <v>18</v>
      </c>
      <c r="L248" s="181" t="s">
        <v>18</v>
      </c>
      <c r="M248" s="186"/>
      <c r="N248" s="181" t="s">
        <v>27</v>
      </c>
      <c r="P248" s="105" t="s">
        <v>126</v>
      </c>
      <c r="Q248" s="105" t="s">
        <v>1244</v>
      </c>
      <c r="R248" s="105" t="s">
        <v>10</v>
      </c>
      <c r="S248" s="104"/>
      <c r="T248" s="106"/>
      <c r="U248" s="106"/>
      <c r="V248" s="105"/>
      <c r="W248" s="3" t="s">
        <v>10</v>
      </c>
      <c r="X248" s="3" t="s">
        <v>10</v>
      </c>
      <c r="Y248" s="182" t="str">
        <f>_xlfn.LET(_xlpm.v,_xlfn.XLOOKUP(E248,'[1]SME09-01_LHM'!$D:$D,'[1]SME09-01_LHM'!$AL:$AL),IF(_xlpm.v=0,"",_xlpm.v))</f>
        <v>IBT-106</v>
      </c>
      <c r="Z248" s="104" t="str">
        <f>_xlfn.LET(_xlpm.v,IF(ISTEXT(Y248),_xlfn.XLOOKUP(Y248,'JP-PINT'!A:A,'JP-PINT'!B:B),""),IF(ISERROR(_xlpm.v),"",_xlpm.v))</f>
        <v>&gt; Sum of Invoice line net amount</v>
      </c>
      <c r="AA248" s="181" t="s">
        <v>24</v>
      </c>
    </row>
    <row r="249" spans="1:27" ht="12.75" customHeight="1">
      <c r="A249" s="4">
        <f>IF(ISTEXT(E249),_xlfn.XLOOKUP(E249,'[1]SME09-01_LHM'!$D:$D,'[1]SME09-01_LHM'!$B:$B))</f>
        <v>338</v>
      </c>
      <c r="B249" s="4">
        <f>_xlfn.XLOOKUP(F249,'[1]SME09-01_LHM'!$I:$I,'[1]SME09-01_LHM'!$B:$B)</f>
        <v>338</v>
      </c>
      <c r="C249" s="22">
        <f>ROW()-25</f>
        <v>224</v>
      </c>
      <c r="D249" s="16" t="s">
        <v>1138</v>
      </c>
      <c r="E249" s="16" t="s">
        <v>1243</v>
      </c>
      <c r="F249" s="18" t="s">
        <v>1242</v>
      </c>
      <c r="G249" s="18" t="s">
        <v>1241</v>
      </c>
      <c r="H249" s="16" t="s">
        <v>8</v>
      </c>
      <c r="I249" s="16" t="s">
        <v>143</v>
      </c>
      <c r="J249" s="38" t="s">
        <v>1240</v>
      </c>
      <c r="K249" s="35" t="s">
        <v>1240</v>
      </c>
      <c r="L249" s="35" t="s">
        <v>1240</v>
      </c>
      <c r="M249" s="186"/>
      <c r="N249" s="181" t="s">
        <v>27</v>
      </c>
      <c r="P249" s="105" t="s">
        <v>126</v>
      </c>
      <c r="Q249" s="105" t="s">
        <v>1239</v>
      </c>
      <c r="R249" s="105" t="s">
        <v>10</v>
      </c>
      <c r="S249" s="104"/>
      <c r="T249" s="106"/>
      <c r="U249" s="106"/>
      <c r="V249" s="105"/>
      <c r="W249" s="3" t="s">
        <v>10</v>
      </c>
      <c r="X249" s="3" t="s">
        <v>10</v>
      </c>
      <c r="Y249" s="182" t="str">
        <f>_xlfn.LET(_xlpm.v,_xlfn.XLOOKUP(E249,'[1]SME09-01_LHM'!$D:$D,'[1]SME09-01_LHM'!$AL:$AL),IF(_xlpm.v=0,"",_xlpm.v))</f>
        <v/>
      </c>
      <c r="Z249" s="104" t="str">
        <f>_xlfn.LET(_xlpm.v,IF(ISTEXT(Y249),_xlfn.XLOOKUP(Y249,'JP-PINT'!A:A,'JP-PINT'!B:B),""),IF(ISERROR(_xlpm.v),"",_xlpm.v))</f>
        <v/>
      </c>
      <c r="AA249" s="181" t="s">
        <v>24</v>
      </c>
    </row>
    <row r="250" spans="1:27" s="45" customFormat="1" ht="12.75" customHeight="1">
      <c r="A250" s="4">
        <f>IF(ISTEXT(E250),_xlfn.XLOOKUP(E250,'[1]SME09-01_LHM'!$D:$D,'[1]SME09-01_LHM'!$B:$B))</f>
        <v>340</v>
      </c>
      <c r="B250" s="4">
        <f>_xlfn.XLOOKUP(F250,'[1]SME09-01_LHM'!$I:$I,'[1]SME09-01_LHM'!$B:$B)</f>
        <v>340</v>
      </c>
      <c r="C250" s="22">
        <f>ROW()-25</f>
        <v>225</v>
      </c>
      <c r="D250" s="26" t="s">
        <v>1138</v>
      </c>
      <c r="E250" s="26" t="s">
        <v>1238</v>
      </c>
      <c r="F250" s="93" t="s">
        <v>2722</v>
      </c>
      <c r="G250" s="25" t="s">
        <v>1237</v>
      </c>
      <c r="H250" s="26" t="s">
        <v>28</v>
      </c>
      <c r="I250" s="26" t="s">
        <v>143</v>
      </c>
      <c r="J250" s="269" t="s">
        <v>271</v>
      </c>
      <c r="K250" s="269" t="s">
        <v>271</v>
      </c>
      <c r="L250" s="269" t="s">
        <v>271</v>
      </c>
      <c r="M250" s="189"/>
      <c r="N250" s="181" t="s">
        <v>27</v>
      </c>
      <c r="O250" s="7"/>
      <c r="P250" s="105" t="s">
        <v>126</v>
      </c>
      <c r="Q250" s="105" t="s">
        <v>1201</v>
      </c>
      <c r="R250" s="105" t="s">
        <v>25</v>
      </c>
      <c r="S250" s="104"/>
      <c r="T250" s="106" t="s">
        <v>1175</v>
      </c>
      <c r="U250" s="106" t="s">
        <v>24</v>
      </c>
      <c r="V250" s="105" t="s">
        <v>24</v>
      </c>
      <c r="W250" s="3" t="s">
        <v>25</v>
      </c>
      <c r="X250" s="3" t="s">
        <v>25</v>
      </c>
      <c r="Y250" s="182" t="str">
        <f>_xlfn.LET(_xlpm.v,_xlfn.XLOOKUP(E250,'[1]SME09-01_LHM'!$D:$D,'[1]SME09-01_LHM'!$AL:$AL),IF(_xlpm.v=0,"",_xlpm.v))</f>
        <v/>
      </c>
      <c r="Z250" s="104" t="str">
        <f>_xlfn.LET(_xlpm.v,IF(ISTEXT(Y250),_xlfn.XLOOKUP(Y250,'JP-PINT'!A:A,'JP-PINT'!B:B),""),IF(ISERROR(_xlpm.v),"",_xlpm.v))</f>
        <v/>
      </c>
      <c r="AA250" s="181" t="s">
        <v>24</v>
      </c>
    </row>
    <row r="251" spans="1:27" ht="12.75" customHeight="1">
      <c r="A251" s="4">
        <f>IF(ISTEXT(E251),_xlfn.XLOOKUP(E251,'[1]SME09-01_LHM'!$D:$D,'[1]SME09-01_LHM'!$B:$B))</f>
        <v>342</v>
      </c>
      <c r="B251" s="4">
        <f>_xlfn.XLOOKUP(F251,'[1]SME09-01_LHM'!$I:$I,'[1]SME09-01_LHM'!$B:$B)</f>
        <v>342</v>
      </c>
      <c r="C251" s="22">
        <f>ROW()-25</f>
        <v>226</v>
      </c>
      <c r="D251" s="16" t="s">
        <v>1138</v>
      </c>
      <c r="E251" s="16" t="s">
        <v>1236</v>
      </c>
      <c r="F251" s="18" t="s">
        <v>1235</v>
      </c>
      <c r="G251" s="18" t="s">
        <v>1234</v>
      </c>
      <c r="H251" s="16" t="s">
        <v>8</v>
      </c>
      <c r="I251" s="16" t="s">
        <v>143</v>
      </c>
      <c r="J251" s="197" t="s">
        <v>271</v>
      </c>
      <c r="K251" s="197" t="s">
        <v>271</v>
      </c>
      <c r="L251" s="197" t="s">
        <v>271</v>
      </c>
      <c r="M251" s="186"/>
      <c r="N251" s="181" t="s">
        <v>27</v>
      </c>
      <c r="P251" s="105" t="s">
        <v>126</v>
      </c>
      <c r="Q251" s="105" t="s">
        <v>246</v>
      </c>
      <c r="R251" s="105" t="s">
        <v>10</v>
      </c>
      <c r="S251" s="104" t="s">
        <v>245</v>
      </c>
      <c r="T251" s="106" t="s">
        <v>158</v>
      </c>
      <c r="U251" s="106" t="s">
        <v>739</v>
      </c>
      <c r="V251" s="105" t="s">
        <v>1233</v>
      </c>
      <c r="W251" s="3" t="s">
        <v>10</v>
      </c>
      <c r="X251" s="3" t="s">
        <v>10</v>
      </c>
      <c r="Y251" s="182" t="str">
        <f>_xlfn.LET(_xlpm.v,_xlfn.XLOOKUP(E251,'[1]SME09-01_LHM'!$D:$D,'[1]SME09-01_LHM'!$AL:$AL),IF(_xlpm.v=0,"",_xlpm.v))</f>
        <v/>
      </c>
      <c r="Z251" s="104" t="str">
        <f>_xlfn.LET(_xlpm.v,IF(ISTEXT(Y251),_xlfn.XLOOKUP(Y251,'JP-PINT'!A:A,'JP-PINT'!B:B),""),IF(ISERROR(_xlpm.v),"",_xlpm.v))</f>
        <v/>
      </c>
      <c r="AA251" s="181" t="s">
        <v>24</v>
      </c>
    </row>
    <row r="252" spans="1:27" ht="12.75" customHeight="1">
      <c r="A252" s="4">
        <f>IF(ISTEXT(E252),_xlfn.XLOOKUP(E252,'[1]SME09-01_LHM'!$D:$D,'[1]SME09-01_LHM'!$B:$B))</f>
        <v>343</v>
      </c>
      <c r="B252" s="4">
        <f>_xlfn.XLOOKUP(F252,'[1]SME09-01_LHM'!$I:$I,'[1]SME09-01_LHM'!$B:$B)</f>
        <v>343</v>
      </c>
      <c r="C252" s="22">
        <f>ROW()-25</f>
        <v>227</v>
      </c>
      <c r="D252" s="16" t="s">
        <v>1138</v>
      </c>
      <c r="E252" s="16" t="s">
        <v>1232</v>
      </c>
      <c r="F252" s="18" t="s">
        <v>1231</v>
      </c>
      <c r="G252" s="18" t="s">
        <v>1230</v>
      </c>
      <c r="H252" s="16" t="s">
        <v>8</v>
      </c>
      <c r="I252" s="16" t="s">
        <v>143</v>
      </c>
      <c r="J252" s="197" t="s">
        <v>271</v>
      </c>
      <c r="K252" s="197" t="s">
        <v>271</v>
      </c>
      <c r="L252" s="197" t="s">
        <v>271</v>
      </c>
      <c r="M252" s="186"/>
      <c r="N252" s="181" t="s">
        <v>27</v>
      </c>
      <c r="O252" s="202"/>
      <c r="P252" s="105" t="s">
        <v>126</v>
      </c>
      <c r="Q252" s="105" t="s">
        <v>239</v>
      </c>
      <c r="R252" s="105" t="s">
        <v>10</v>
      </c>
      <c r="S252" s="104"/>
      <c r="T252" s="106"/>
      <c r="U252" s="106" t="s">
        <v>24</v>
      </c>
      <c r="V252" s="105" t="s">
        <v>24</v>
      </c>
      <c r="W252" s="203" t="s">
        <v>10</v>
      </c>
      <c r="X252" s="203" t="s">
        <v>10</v>
      </c>
      <c r="Y252" s="182" t="str">
        <f>_xlfn.LET(_xlpm.v,_xlfn.XLOOKUP(E252,'[1]SME09-01_LHM'!$D:$D,'[1]SME09-01_LHM'!$AL:$AL),IF(_xlpm.v=0,"",_xlpm.v))</f>
        <v/>
      </c>
      <c r="Z252" s="104" t="str">
        <f>_xlfn.LET(_xlpm.v,IF(ISTEXT(Y252),_xlfn.XLOOKUP(Y252,'JP-PINT'!A:A,'JP-PINT'!B:B),""),IF(ISERROR(_xlpm.v),"",_xlpm.v))</f>
        <v/>
      </c>
      <c r="AA252" s="181" t="s">
        <v>24</v>
      </c>
    </row>
    <row r="253" spans="1:27" s="205" customFormat="1" ht="12.75" customHeight="1">
      <c r="A253" s="4">
        <f>IF(ISTEXT(E253),_xlfn.XLOOKUP(E253,'[1]SME09-01_LHM'!$D:$D,'[1]SME09-01_LHM'!$B:$B))</f>
        <v>344</v>
      </c>
      <c r="B253" s="4">
        <f>_xlfn.XLOOKUP(F253,'[1]SME09-01_LHM'!$I:$I,'[1]SME09-01_LHM'!$B:$B)</f>
        <v>344</v>
      </c>
      <c r="C253" s="22">
        <f>ROW()-25</f>
        <v>228</v>
      </c>
      <c r="D253" s="16" t="s">
        <v>1138</v>
      </c>
      <c r="E253" s="16" t="s">
        <v>1229</v>
      </c>
      <c r="F253" s="18" t="s">
        <v>1228</v>
      </c>
      <c r="G253" s="18" t="s">
        <v>1227</v>
      </c>
      <c r="H253" s="16" t="s">
        <v>8</v>
      </c>
      <c r="I253" s="16" t="s">
        <v>143</v>
      </c>
      <c r="J253" s="197" t="s">
        <v>271</v>
      </c>
      <c r="K253" s="197" t="s">
        <v>271</v>
      </c>
      <c r="L253" s="197" t="s">
        <v>271</v>
      </c>
      <c r="M253" s="186"/>
      <c r="N253" s="181" t="s">
        <v>27</v>
      </c>
      <c r="O253" s="7"/>
      <c r="P253" s="105" t="s">
        <v>126</v>
      </c>
      <c r="Q253" s="105" t="s">
        <v>235</v>
      </c>
      <c r="R253" s="105" t="s">
        <v>10</v>
      </c>
      <c r="S253" s="104"/>
      <c r="T253" s="106"/>
      <c r="U253" s="106" t="s">
        <v>27</v>
      </c>
      <c r="V253" s="105" t="s">
        <v>24</v>
      </c>
      <c r="W253" s="3" t="s">
        <v>10</v>
      </c>
      <c r="X253" s="3" t="s">
        <v>10</v>
      </c>
      <c r="Y253" s="182" t="str">
        <f>_xlfn.LET(_xlpm.v,_xlfn.XLOOKUP(E253,'[1]SME09-01_LHM'!$D:$D,'[1]SME09-01_LHM'!$AL:$AL),IF(_xlpm.v=0,"",_xlpm.v))</f>
        <v/>
      </c>
      <c r="Z253" s="104" t="str">
        <f>_xlfn.LET(_xlpm.v,IF(ISTEXT(Y253),_xlfn.XLOOKUP(Y253,'JP-PINT'!A:A,'JP-PINT'!B:B),""),IF(ISERROR(_xlpm.v),"",_xlpm.v))</f>
        <v/>
      </c>
      <c r="AA253" s="181" t="s">
        <v>24</v>
      </c>
    </row>
    <row r="254" spans="1:27" ht="12.75" customHeight="1">
      <c r="A254" s="4">
        <f>IF(ISTEXT(E254),_xlfn.XLOOKUP(E254,'[1]SME09-01_LHM'!$D:$D,'[1]SME09-01_LHM'!$B:$B))</f>
        <v>345</v>
      </c>
      <c r="B254" s="4">
        <f>_xlfn.XLOOKUP(F254,'[1]SME09-01_LHM'!$I:$I,'[1]SME09-01_LHM'!$B:$B)</f>
        <v>345</v>
      </c>
      <c r="C254" s="22">
        <f>ROW()-25</f>
        <v>229</v>
      </c>
      <c r="D254" s="16" t="s">
        <v>1138</v>
      </c>
      <c r="E254" s="16" t="s">
        <v>1226</v>
      </c>
      <c r="F254" s="17" t="s">
        <v>1225</v>
      </c>
      <c r="G254" s="17" t="s">
        <v>1224</v>
      </c>
      <c r="H254" s="16" t="s">
        <v>8</v>
      </c>
      <c r="I254" s="16" t="s">
        <v>143</v>
      </c>
      <c r="J254" s="197" t="s">
        <v>271</v>
      </c>
      <c r="K254" s="197" t="s">
        <v>271</v>
      </c>
      <c r="L254" s="197" t="s">
        <v>271</v>
      </c>
      <c r="M254" s="186"/>
      <c r="N254" s="181"/>
      <c r="O254" s="270" t="s">
        <v>24</v>
      </c>
      <c r="P254" s="105" t="s">
        <v>126</v>
      </c>
      <c r="Q254" s="105" t="s">
        <v>1223</v>
      </c>
      <c r="R254" s="105" t="s">
        <v>10</v>
      </c>
      <c r="S254" s="105" t="s">
        <v>64</v>
      </c>
      <c r="T254" s="106" t="s">
        <v>63</v>
      </c>
      <c r="U254" s="129" t="s">
        <v>398</v>
      </c>
      <c r="V254" s="104" t="s">
        <v>103</v>
      </c>
      <c r="W254" s="7" t="s">
        <v>10</v>
      </c>
      <c r="X254" s="7" t="s">
        <v>10</v>
      </c>
      <c r="Y254" s="182" t="str">
        <f>_xlfn.LET(_xlpm.v,_xlfn.XLOOKUP(E254,'[1]SME09-01_LHM'!$D:$D,'[1]SME09-01_LHM'!$AL:$AL),IF(_xlpm.v=0,"",_xlpm.v))</f>
        <v/>
      </c>
      <c r="Z254" s="104" t="str">
        <f>_xlfn.LET(_xlpm.v,IF(ISTEXT(Y254),_xlfn.XLOOKUP(Y254,'JP-PINT'!A:A,'JP-PINT'!B:B),""),IF(ISERROR(_xlpm.v),"",_xlpm.v))</f>
        <v/>
      </c>
      <c r="AA254" s="181" t="s">
        <v>24</v>
      </c>
    </row>
    <row r="255" spans="1:27" ht="12.75" customHeight="1">
      <c r="A255" s="4">
        <f>IF(ISTEXT(E255),_xlfn.XLOOKUP(E255,'[1]SME09-01_LHM'!$D:$D,'[1]SME09-01_LHM'!$B:$B))</f>
        <v>346</v>
      </c>
      <c r="B255" s="4">
        <f>_xlfn.XLOOKUP(F255,'[1]SME09-01_LHM'!$I:$I,'[1]SME09-01_LHM'!$B:$B)</f>
        <v>346</v>
      </c>
      <c r="C255" s="22">
        <f>ROW()-25</f>
        <v>230</v>
      </c>
      <c r="D255" s="26" t="s">
        <v>1138</v>
      </c>
      <c r="E255" s="26" t="s">
        <v>1222</v>
      </c>
      <c r="F255" s="101" t="s">
        <v>2723</v>
      </c>
      <c r="G255" s="27" t="s">
        <v>1221</v>
      </c>
      <c r="H255" s="26" t="s">
        <v>43</v>
      </c>
      <c r="I255" s="26" t="s">
        <v>143</v>
      </c>
      <c r="J255" s="269" t="s">
        <v>271</v>
      </c>
      <c r="K255" s="269" t="s">
        <v>271</v>
      </c>
      <c r="L255" s="269" t="s">
        <v>271</v>
      </c>
      <c r="M255" s="189"/>
      <c r="N255" s="181" t="s">
        <v>27</v>
      </c>
      <c r="O255" s="62"/>
      <c r="P255" s="105" t="s">
        <v>126</v>
      </c>
      <c r="Q255" s="102" t="s">
        <v>164</v>
      </c>
      <c r="R255" s="105" t="s">
        <v>25</v>
      </c>
      <c r="S255" s="104"/>
      <c r="T255" s="106" t="s">
        <v>1175</v>
      </c>
      <c r="U255" s="106" t="s">
        <v>24</v>
      </c>
      <c r="V255" s="105" t="s">
        <v>24</v>
      </c>
      <c r="W255" s="3" t="s">
        <v>25</v>
      </c>
      <c r="X255" s="3" t="s">
        <v>25</v>
      </c>
      <c r="Y255" s="182" t="str">
        <f>_xlfn.LET(_xlpm.v,_xlfn.XLOOKUP(E255,'[1]SME09-01_LHM'!$D:$D,'[1]SME09-01_LHM'!$AL:$AL),IF(_xlpm.v=0,"",_xlpm.v))</f>
        <v/>
      </c>
      <c r="Z255" s="104" t="str">
        <f>_xlfn.LET(_xlpm.v,IF(ISTEXT(Y255),_xlfn.XLOOKUP(Y255,'JP-PINT'!A:A,'JP-PINT'!B:B),""),IF(ISERROR(_xlpm.v),"",_xlpm.v))</f>
        <v/>
      </c>
      <c r="AA255" s="181" t="s">
        <v>24</v>
      </c>
    </row>
    <row r="256" spans="1:27" ht="12.75" customHeight="1">
      <c r="A256" s="4">
        <f>IF(ISTEXT(E256),_xlfn.XLOOKUP(E256,'[1]SME09-01_LHM'!$D:$D,'[1]SME09-01_LHM'!$B:$B))</f>
        <v>348</v>
      </c>
      <c r="B256" s="4">
        <f>_xlfn.XLOOKUP(F256,'[1]SME09-01_LHM'!$I:$I,'[1]SME09-01_LHM'!$B:$B)</f>
        <v>348</v>
      </c>
      <c r="C256" s="22">
        <f>ROW()-25</f>
        <v>231</v>
      </c>
      <c r="D256" s="16" t="s">
        <v>1138</v>
      </c>
      <c r="E256" s="16" t="s">
        <v>1220</v>
      </c>
      <c r="F256" s="101" t="s">
        <v>2725</v>
      </c>
      <c r="G256" s="17" t="s">
        <v>1219</v>
      </c>
      <c r="H256" s="16" t="s">
        <v>8</v>
      </c>
      <c r="I256" s="16" t="s">
        <v>143</v>
      </c>
      <c r="J256" s="197" t="s">
        <v>271</v>
      </c>
      <c r="K256" s="197" t="s">
        <v>271</v>
      </c>
      <c r="L256" s="197" t="s">
        <v>271</v>
      </c>
      <c r="M256" s="186"/>
      <c r="N256" s="181" t="s">
        <v>27</v>
      </c>
      <c r="O256" s="62"/>
      <c r="P256" s="105" t="s">
        <v>126</v>
      </c>
      <c r="Q256" s="105" t="s">
        <v>799</v>
      </c>
      <c r="R256" s="105" t="s">
        <v>10</v>
      </c>
      <c r="S256" s="104"/>
      <c r="T256" s="106"/>
      <c r="U256" s="106" t="s">
        <v>24</v>
      </c>
      <c r="V256" s="105" t="s">
        <v>24</v>
      </c>
      <c r="W256" s="3" t="s">
        <v>10</v>
      </c>
      <c r="X256" s="3" t="s">
        <v>10</v>
      </c>
      <c r="Y256" s="182" t="str">
        <f>_xlfn.LET(_xlpm.v,_xlfn.XLOOKUP(E256,'[1]SME09-01_LHM'!$D:$D,'[1]SME09-01_LHM'!$AL:$AL),IF(_xlpm.v=0,"",_xlpm.v))</f>
        <v/>
      </c>
      <c r="Z256" s="104" t="str">
        <f>_xlfn.LET(_xlpm.v,IF(ISTEXT(Y256),_xlfn.XLOOKUP(Y256,'JP-PINT'!A:A,'JP-PINT'!B:B),""),IF(ISERROR(_xlpm.v),"",_xlpm.v))</f>
        <v/>
      </c>
      <c r="AA256" s="181" t="s">
        <v>24</v>
      </c>
    </row>
    <row r="257" spans="1:27" s="258" customFormat="1" ht="12.75" customHeight="1">
      <c r="A257" s="4">
        <f>IF(ISTEXT(E257),_xlfn.XLOOKUP(E257,'[1]SME09-01_LHM'!$D:$D,'[1]SME09-01_LHM'!$B:$B))</f>
        <v>348.1</v>
      </c>
      <c r="B257" s="4">
        <f>_xlfn.XLOOKUP(F257,'[1]SME09-01_LHM'!$I:$I,'[1]SME09-01_LHM'!$B:$B)</f>
        <v>348.1</v>
      </c>
      <c r="C257" s="78"/>
      <c r="D257" s="259"/>
      <c r="E257" s="67" t="s">
        <v>2726</v>
      </c>
      <c r="F257" s="250" t="s">
        <v>2727</v>
      </c>
      <c r="G257" s="260" t="s">
        <v>1325</v>
      </c>
      <c r="H257" s="77" t="s">
        <v>8</v>
      </c>
      <c r="I257" s="261"/>
      <c r="J257" s="262"/>
      <c r="K257" s="262"/>
      <c r="L257" s="262"/>
      <c r="M257" s="262"/>
      <c r="N257" s="263"/>
      <c r="O257" s="264"/>
      <c r="P257" s="265"/>
      <c r="Q257" s="265" t="s">
        <v>162</v>
      </c>
      <c r="R257" s="265" t="s">
        <v>10</v>
      </c>
      <c r="S257" s="266" t="s">
        <v>161</v>
      </c>
      <c r="T257" s="267" t="s">
        <v>158</v>
      </c>
      <c r="U257" s="267"/>
      <c r="V257" s="265"/>
      <c r="Y257" s="182" t="str">
        <f>_xlfn.LET(_xlpm.v,_xlfn.XLOOKUP(E257,'[1]SME09-01_LHM'!$D:$D,'[1]SME09-01_LHM'!$AL:$AL),IF(_xlpm.v=0,"",_xlpm.v))</f>
        <v/>
      </c>
      <c r="Z257" s="104" t="str">
        <f>_xlfn.LET(_xlpm.v,IF(ISTEXT(Y257),_xlfn.XLOOKUP(Y257,'JP-PINT'!A:A,'JP-PINT'!B:B),""),IF(ISERROR(_xlpm.v),"",_xlpm.v))</f>
        <v/>
      </c>
      <c r="AA257" s="263"/>
    </row>
    <row r="258" spans="1:27" ht="12.75" customHeight="1">
      <c r="A258" s="4">
        <f>IF(ISTEXT(E258),_xlfn.XLOOKUP(E258,'[1]SME09-01_LHM'!$D:$D,'[1]SME09-01_LHM'!$B:$B))</f>
        <v>349</v>
      </c>
      <c r="B258" s="4">
        <f>_xlfn.XLOOKUP(F258,'[1]SME09-01_LHM'!$I:$I,'[1]SME09-01_LHM'!$B:$B)</f>
        <v>349</v>
      </c>
      <c r="C258" s="22">
        <f>ROW()-25</f>
        <v>233</v>
      </c>
      <c r="D258" s="16" t="s">
        <v>1138</v>
      </c>
      <c r="E258" s="16" t="s">
        <v>1218</v>
      </c>
      <c r="F258" s="17" t="s">
        <v>2724</v>
      </c>
      <c r="G258" s="17" t="s">
        <v>1217</v>
      </c>
      <c r="H258" s="16" t="s">
        <v>8</v>
      </c>
      <c r="I258" s="16" t="s">
        <v>143</v>
      </c>
      <c r="J258" s="197" t="s">
        <v>271</v>
      </c>
      <c r="K258" s="197" t="s">
        <v>271</v>
      </c>
      <c r="L258" s="197" t="s">
        <v>271</v>
      </c>
      <c r="M258" s="186"/>
      <c r="N258" s="181" t="s">
        <v>27</v>
      </c>
      <c r="P258" s="105" t="s">
        <v>126</v>
      </c>
      <c r="Q258" s="105" t="s">
        <v>277</v>
      </c>
      <c r="R258" s="105" t="s">
        <v>10</v>
      </c>
      <c r="S258" s="104"/>
      <c r="T258" s="106"/>
      <c r="U258" s="106" t="s">
        <v>27</v>
      </c>
      <c r="V258" s="105" t="s">
        <v>27</v>
      </c>
      <c r="W258" s="3" t="s">
        <v>10</v>
      </c>
      <c r="X258" s="3" t="s">
        <v>10</v>
      </c>
      <c r="Y258" s="182" t="str">
        <f>_xlfn.LET(_xlpm.v,_xlfn.XLOOKUP(E258,'[1]SME09-01_LHM'!$D:$D,'[1]SME09-01_LHM'!$AL:$AL),IF(_xlpm.v=0,"",_xlpm.v))</f>
        <v/>
      </c>
      <c r="Z258" s="104" t="str">
        <f>_xlfn.LET(_xlpm.v,IF(ISTEXT(Y258),_xlfn.XLOOKUP(Y258,'JP-PINT'!A:A,'JP-PINT'!B:B),""),IF(ISERROR(_xlpm.v),"",_xlpm.v))</f>
        <v/>
      </c>
      <c r="AA258" s="181" t="s">
        <v>24</v>
      </c>
    </row>
    <row r="259" spans="1:27" ht="12.75" customHeight="1">
      <c r="A259" s="4">
        <f>IF(ISTEXT(E259),_xlfn.XLOOKUP(E259,'[1]SME09-01_LHM'!$D:$D,'[1]SME09-01_LHM'!$B:$B))</f>
        <v>350</v>
      </c>
      <c r="B259" s="4">
        <f>_xlfn.XLOOKUP(F259,'[1]SME09-01_LHM'!$I:$I,'[1]SME09-01_LHM'!$B:$B)</f>
        <v>350</v>
      </c>
      <c r="C259" s="18">
        <f>ROW()-25</f>
        <v>234</v>
      </c>
      <c r="D259" s="16" t="s">
        <v>1138</v>
      </c>
      <c r="E259" s="16" t="s">
        <v>1216</v>
      </c>
      <c r="F259" s="17" t="s">
        <v>1215</v>
      </c>
      <c r="G259" s="17" t="s">
        <v>1214</v>
      </c>
      <c r="H259" s="16" t="s">
        <v>1213</v>
      </c>
      <c r="I259" s="39" t="s">
        <v>227</v>
      </c>
      <c r="J259" s="197" t="s">
        <v>271</v>
      </c>
      <c r="K259" s="197" t="s">
        <v>271</v>
      </c>
      <c r="L259" s="197" t="s">
        <v>271</v>
      </c>
      <c r="M259" s="186"/>
      <c r="N259" s="181" t="s">
        <v>27</v>
      </c>
      <c r="P259" s="105" t="s">
        <v>126</v>
      </c>
      <c r="Q259" s="105" t="s">
        <v>361</v>
      </c>
      <c r="R259" s="105" t="s">
        <v>10</v>
      </c>
      <c r="S259" s="104"/>
      <c r="T259" s="106"/>
      <c r="U259" s="106"/>
      <c r="V259" s="105"/>
      <c r="W259" s="3" t="s">
        <v>10</v>
      </c>
      <c r="X259" s="3" t="s">
        <v>10</v>
      </c>
      <c r="Y259" s="182" t="str">
        <f>_xlfn.LET(_xlpm.v,_xlfn.XLOOKUP(E259,'[1]SME09-01_LHM'!$D:$D,'[1]SME09-01_LHM'!$AL:$AL),IF(_xlpm.v=0,"",_xlpm.v))</f>
        <v/>
      </c>
      <c r="Z259" s="104" t="str">
        <f>_xlfn.LET(_xlpm.v,IF(ISTEXT(Y259),_xlfn.XLOOKUP(Y259,'JP-PINT'!A:A,'JP-PINT'!B:B),""),IF(ISERROR(_xlpm.v),"",_xlpm.v))</f>
        <v/>
      </c>
      <c r="AA259" s="181" t="s">
        <v>24</v>
      </c>
    </row>
    <row r="260" spans="1:27" s="6" customFormat="1" ht="12.75" customHeight="1">
      <c r="A260" s="4">
        <f>IF(ISTEXT(E260),_xlfn.XLOOKUP(E260,'[1]SME09-01_LHM'!$D:$D,'[1]SME09-01_LHM'!$B:$B))</f>
        <v>351</v>
      </c>
      <c r="B260" s="4">
        <f>_xlfn.XLOOKUP(F260,'[1]SME09-01_LHM'!$I:$I,'[1]SME09-01_LHM'!$B:$B)</f>
        <v>351</v>
      </c>
      <c r="C260" s="22">
        <f>ROW()-25</f>
        <v>235</v>
      </c>
      <c r="D260" s="16" t="s">
        <v>1138</v>
      </c>
      <c r="E260" s="16" t="s">
        <v>1212</v>
      </c>
      <c r="F260" s="17" t="s">
        <v>1211</v>
      </c>
      <c r="G260" s="17" t="s">
        <v>1210</v>
      </c>
      <c r="H260" s="16" t="s">
        <v>8</v>
      </c>
      <c r="I260" s="16" t="s">
        <v>143</v>
      </c>
      <c r="J260" s="197" t="s">
        <v>271</v>
      </c>
      <c r="K260" s="197" t="s">
        <v>271</v>
      </c>
      <c r="L260" s="197" t="s">
        <v>271</v>
      </c>
      <c r="M260" s="186"/>
      <c r="N260" s="181" t="s">
        <v>27</v>
      </c>
      <c r="O260" s="7"/>
      <c r="P260" s="105" t="s">
        <v>126</v>
      </c>
      <c r="Q260" s="105" t="s">
        <v>156</v>
      </c>
      <c r="R260" s="105" t="s">
        <v>10</v>
      </c>
      <c r="S260" s="104" t="s">
        <v>159</v>
      </c>
      <c r="T260" s="106" t="s">
        <v>158</v>
      </c>
      <c r="U260" s="106" t="s">
        <v>1209</v>
      </c>
      <c r="V260" s="105" t="s">
        <v>355</v>
      </c>
      <c r="W260" s="3" t="s">
        <v>10</v>
      </c>
      <c r="X260" s="3" t="s">
        <v>10</v>
      </c>
      <c r="Y260" s="182" t="str">
        <f>_xlfn.LET(_xlpm.v,_xlfn.XLOOKUP(E260,'[1]SME09-01_LHM'!$D:$D,'[1]SME09-01_LHM'!$AL:$AL),IF(_xlpm.v=0,"",_xlpm.v))</f>
        <v/>
      </c>
      <c r="Z260" s="104" t="str">
        <f>_xlfn.LET(_xlpm.v,IF(ISTEXT(Y260),_xlfn.XLOOKUP(Y260,'JP-PINT'!A:A,'JP-PINT'!B:B),""),IF(ISERROR(_xlpm.v),"",_xlpm.v))</f>
        <v/>
      </c>
      <c r="AA260" s="181" t="s">
        <v>24</v>
      </c>
    </row>
    <row r="261" spans="1:27" s="6" customFormat="1" ht="12.75" customHeight="1">
      <c r="A261" s="4">
        <f>IF(ISTEXT(E261),_xlfn.XLOOKUP(E261,'[1]SME09-01_LHM'!$D:$D,'[1]SME09-01_LHM'!$B:$B))</f>
        <v>352</v>
      </c>
      <c r="B261" s="4">
        <f>_xlfn.XLOOKUP(F261,'[1]SME09-01_LHM'!$I:$I,'[1]SME09-01_LHM'!$B:$B)</f>
        <v>352</v>
      </c>
      <c r="C261" s="22">
        <f>ROW()-25</f>
        <v>236</v>
      </c>
      <c r="D261" s="16" t="s">
        <v>1208</v>
      </c>
      <c r="E261" s="35" t="s">
        <v>1207</v>
      </c>
      <c r="F261" s="17" t="s">
        <v>1206</v>
      </c>
      <c r="G261" s="17" t="s">
        <v>1205</v>
      </c>
      <c r="H261" s="16" t="s">
        <v>28</v>
      </c>
      <c r="I261" s="39" t="s">
        <v>227</v>
      </c>
      <c r="J261" s="197" t="s">
        <v>271</v>
      </c>
      <c r="K261" s="197" t="s">
        <v>271</v>
      </c>
      <c r="L261" s="197" t="s">
        <v>271</v>
      </c>
      <c r="M261" s="186"/>
      <c r="N261" s="181"/>
      <c r="O261" s="7"/>
      <c r="P261" s="105" t="s">
        <v>126</v>
      </c>
      <c r="Q261" s="105" t="s">
        <v>338</v>
      </c>
      <c r="R261" s="105" t="s">
        <v>10</v>
      </c>
      <c r="S261" s="104"/>
      <c r="T261" s="106"/>
      <c r="U261" s="106"/>
      <c r="V261" s="105"/>
      <c r="W261" s="3" t="s">
        <v>10</v>
      </c>
      <c r="X261" s="3" t="s">
        <v>10</v>
      </c>
      <c r="Y261" s="182" t="str">
        <f>_xlfn.LET(_xlpm.v,_xlfn.XLOOKUP(E261,'[1]SME09-01_LHM'!$D:$D,'[1]SME09-01_LHM'!$AL:$AL),IF(_xlpm.v=0,"",_xlpm.v))</f>
        <v/>
      </c>
      <c r="Z261" s="104" t="str">
        <f>_xlfn.LET(_xlpm.v,IF(ISTEXT(Y261),_xlfn.XLOOKUP(Y261,'JP-PINT'!A:A,'JP-PINT'!B:B),""),IF(ISERROR(_xlpm.v),"",_xlpm.v))</f>
        <v/>
      </c>
      <c r="AA261" s="181"/>
    </row>
    <row r="262" spans="1:27" s="6" customFormat="1" ht="12.75" customHeight="1">
      <c r="A262" s="4" t="e">
        <f>IF(ISTEXT(E262),_xlfn.XLOOKUP(E262,'[1]SME09-01_LHM'!$D:$D,'[1]SME09-01_LHM'!$B:$B))</f>
        <v>#N/A</v>
      </c>
      <c r="B262" s="4" t="e">
        <f>_xlfn.XLOOKUP(F262,'[1]SME09-01_LHM'!$I:$I,'[1]SME09-01_LHM'!$B:$B)</f>
        <v>#N/A</v>
      </c>
      <c r="C262" s="22">
        <f>ROW()-25</f>
        <v>237</v>
      </c>
      <c r="D262" s="26" t="s">
        <v>1138</v>
      </c>
      <c r="E262" s="26" t="s">
        <v>1204</v>
      </c>
      <c r="F262" s="25" t="s">
        <v>1203</v>
      </c>
      <c r="G262" s="25" t="s">
        <v>1202</v>
      </c>
      <c r="H262" s="26" t="s">
        <v>28</v>
      </c>
      <c r="I262" s="39" t="s">
        <v>227</v>
      </c>
      <c r="J262" s="269" t="s">
        <v>1190</v>
      </c>
      <c r="K262" s="269" t="s">
        <v>1190</v>
      </c>
      <c r="L262" s="269" t="s">
        <v>1190</v>
      </c>
      <c r="M262" s="189"/>
      <c r="N262" s="181" t="s">
        <v>27</v>
      </c>
      <c r="O262" s="7"/>
      <c r="P262" s="105" t="s">
        <v>126</v>
      </c>
      <c r="Q262" s="105" t="s">
        <v>1201</v>
      </c>
      <c r="R262" s="105" t="s">
        <v>25</v>
      </c>
      <c r="S262" s="104"/>
      <c r="T262" s="106" t="s">
        <v>1175</v>
      </c>
      <c r="U262" s="106" t="s">
        <v>24</v>
      </c>
      <c r="V262" s="105" t="s">
        <v>24</v>
      </c>
      <c r="W262" s="3" t="s">
        <v>25</v>
      </c>
      <c r="X262" s="3" t="s">
        <v>25</v>
      </c>
      <c r="Y262" s="182"/>
      <c r="Z262" s="104" t="str">
        <f>_xlfn.LET(_xlpm.v,IF(ISTEXT(Y262),_xlfn.XLOOKUP(Y262,'JP-PINT'!A:A,'JP-PINT'!B:B),""),IF(ISERROR(_xlpm.v),"",_xlpm.v))</f>
        <v/>
      </c>
      <c r="AA262" s="181" t="s">
        <v>24</v>
      </c>
    </row>
    <row r="263" spans="1:27" ht="12.75" customHeight="1">
      <c r="A263" s="4" t="e">
        <f>IF(ISTEXT(E263),_xlfn.XLOOKUP(E263,'[1]SME09-01_LHM'!$D:$D,'[1]SME09-01_LHM'!$B:$B))</f>
        <v>#N/A</v>
      </c>
      <c r="B263" s="4" t="e">
        <f>_xlfn.XLOOKUP(F263,'[1]SME09-01_LHM'!$I:$I,'[1]SME09-01_LHM'!$B:$B)</f>
        <v>#N/A</v>
      </c>
      <c r="C263" s="22">
        <f>ROW()-25</f>
        <v>238</v>
      </c>
      <c r="D263" s="16" t="s">
        <v>1138</v>
      </c>
      <c r="E263" s="16" t="s">
        <v>1200</v>
      </c>
      <c r="F263" s="18" t="s">
        <v>1199</v>
      </c>
      <c r="G263" s="18" t="s">
        <v>1198</v>
      </c>
      <c r="H263" s="16" t="s">
        <v>8</v>
      </c>
      <c r="I263" s="39" t="s">
        <v>227</v>
      </c>
      <c r="J263" s="197" t="s">
        <v>1190</v>
      </c>
      <c r="K263" s="197" t="s">
        <v>1190</v>
      </c>
      <c r="L263" s="197" t="s">
        <v>1190</v>
      </c>
      <c r="M263" s="195" t="s">
        <v>73</v>
      </c>
      <c r="N263" s="181" t="s">
        <v>27</v>
      </c>
      <c r="P263" s="105" t="s">
        <v>126</v>
      </c>
      <c r="Q263" s="105" t="s">
        <v>246</v>
      </c>
      <c r="R263" s="105" t="s">
        <v>10</v>
      </c>
      <c r="S263" s="104" t="s">
        <v>245</v>
      </c>
      <c r="T263" s="106" t="s">
        <v>158</v>
      </c>
      <c r="U263" s="106" t="s">
        <v>739</v>
      </c>
      <c r="V263" s="152" t="s">
        <v>1197</v>
      </c>
      <c r="W263" s="3" t="s">
        <v>10</v>
      </c>
      <c r="X263" s="3" t="s">
        <v>10</v>
      </c>
      <c r="Y263" s="182"/>
      <c r="Z263" s="104" t="str">
        <f>_xlfn.LET(_xlpm.v,IF(ISTEXT(Y263),_xlfn.XLOOKUP(Y263,'JP-PINT'!A:A,'JP-PINT'!B:B),""),IF(ISERROR(_xlpm.v),"",_xlpm.v))</f>
        <v/>
      </c>
      <c r="AA263" s="181" t="s">
        <v>24</v>
      </c>
    </row>
    <row r="264" spans="1:27" ht="12.75" customHeight="1">
      <c r="A264" s="4" t="e">
        <f>IF(ISTEXT(E264),_xlfn.XLOOKUP(E264,'[1]SME09-01_LHM'!$D:$D,'[1]SME09-01_LHM'!$B:$B))</f>
        <v>#N/A</v>
      </c>
      <c r="B264" s="4" t="e">
        <f>_xlfn.XLOOKUP(F264,'[1]SME09-01_LHM'!$I:$I,'[1]SME09-01_LHM'!$B:$B)</f>
        <v>#N/A</v>
      </c>
      <c r="C264" s="22">
        <f>ROW()-25</f>
        <v>239</v>
      </c>
      <c r="D264" s="16" t="s">
        <v>1138</v>
      </c>
      <c r="E264" s="16" t="s">
        <v>1196</v>
      </c>
      <c r="F264" s="18" t="s">
        <v>1195</v>
      </c>
      <c r="G264" s="18" t="s">
        <v>1194</v>
      </c>
      <c r="H264" s="16" t="s">
        <v>8</v>
      </c>
      <c r="I264" s="39" t="s">
        <v>227</v>
      </c>
      <c r="J264" s="197" t="s">
        <v>1190</v>
      </c>
      <c r="K264" s="197" t="s">
        <v>1190</v>
      </c>
      <c r="L264" s="197" t="s">
        <v>1190</v>
      </c>
      <c r="M264" s="186"/>
      <c r="N264" s="181" t="s">
        <v>27</v>
      </c>
      <c r="O264" s="202"/>
      <c r="P264" s="105" t="s">
        <v>126</v>
      </c>
      <c r="Q264" s="105" t="s">
        <v>239</v>
      </c>
      <c r="R264" s="105" t="s">
        <v>10</v>
      </c>
      <c r="S264" s="104"/>
      <c r="T264" s="106"/>
      <c r="U264" s="106" t="s">
        <v>27</v>
      </c>
      <c r="V264" s="105" t="s">
        <v>27</v>
      </c>
      <c r="W264" s="203" t="s">
        <v>10</v>
      </c>
      <c r="X264" s="203" t="s">
        <v>10</v>
      </c>
      <c r="Y264" s="182"/>
      <c r="Z264" s="104" t="str">
        <f>_xlfn.LET(_xlpm.v,IF(ISTEXT(Y264),_xlfn.XLOOKUP(Y264,'JP-PINT'!A:A,'JP-PINT'!B:B),""),IF(ISERROR(_xlpm.v),"",_xlpm.v))</f>
        <v/>
      </c>
      <c r="AA264" s="181" t="s">
        <v>24</v>
      </c>
    </row>
    <row r="265" spans="1:27" s="205" customFormat="1" ht="12.75" customHeight="1">
      <c r="A265" s="4" t="e">
        <f>IF(ISTEXT(E265),_xlfn.XLOOKUP(E265,'[1]SME09-01_LHM'!$D:$D,'[1]SME09-01_LHM'!$B:$B))</f>
        <v>#N/A</v>
      </c>
      <c r="B265" s="4" t="e">
        <f>_xlfn.XLOOKUP(F265,'[1]SME09-01_LHM'!$I:$I,'[1]SME09-01_LHM'!$B:$B)</f>
        <v>#N/A</v>
      </c>
      <c r="C265" s="22">
        <f>ROW()-25</f>
        <v>240</v>
      </c>
      <c r="D265" s="16" t="s">
        <v>1138</v>
      </c>
      <c r="E265" s="16" t="s">
        <v>1193</v>
      </c>
      <c r="F265" s="18" t="s">
        <v>1192</v>
      </c>
      <c r="G265" s="18" t="s">
        <v>1191</v>
      </c>
      <c r="H265" s="16" t="s">
        <v>8</v>
      </c>
      <c r="I265" s="39" t="s">
        <v>227</v>
      </c>
      <c r="J265" s="197" t="s">
        <v>1190</v>
      </c>
      <c r="K265" s="197" t="s">
        <v>1190</v>
      </c>
      <c r="L265" s="197" t="s">
        <v>1190</v>
      </c>
      <c r="M265" s="195" t="s">
        <v>73</v>
      </c>
      <c r="N265" s="181" t="s">
        <v>27</v>
      </c>
      <c r="O265" s="7"/>
      <c r="P265" s="105" t="s">
        <v>126</v>
      </c>
      <c r="Q265" s="105" t="s">
        <v>235</v>
      </c>
      <c r="R265" s="105" t="s">
        <v>10</v>
      </c>
      <c r="S265" s="104"/>
      <c r="T265" s="106"/>
      <c r="U265" s="106" t="s">
        <v>27</v>
      </c>
      <c r="V265" s="105" t="s">
        <v>24</v>
      </c>
      <c r="W265" s="3" t="s">
        <v>10</v>
      </c>
      <c r="X265" s="3" t="s">
        <v>10</v>
      </c>
      <c r="Y265" s="182"/>
      <c r="Z265" s="104" t="str">
        <f>_xlfn.LET(_xlpm.v,IF(ISTEXT(Y265),_xlfn.XLOOKUP(Y265,'JP-PINT'!A:A,'JP-PINT'!B:B),""),IF(ISERROR(_xlpm.v),"",_xlpm.v))</f>
        <v/>
      </c>
      <c r="AA265" s="181" t="s">
        <v>24</v>
      </c>
    </row>
    <row r="266" spans="1:27" ht="12.75" customHeight="1">
      <c r="A266" s="4" t="e">
        <f>IF(ISTEXT(E266),_xlfn.XLOOKUP(E266,'[1]SME09-01_LHM'!$D:$D,'[1]SME09-01_LHM'!$B:$B))</f>
        <v>#N/A</v>
      </c>
      <c r="B266" s="4" t="e">
        <f>_xlfn.XLOOKUP(F266,'[1]SME09-01_LHM'!$I:$I,'[1]SME09-01_LHM'!$B:$B)</f>
        <v>#N/A</v>
      </c>
      <c r="C266" s="22">
        <f>ROW()-25</f>
        <v>241</v>
      </c>
      <c r="D266" s="26" t="s">
        <v>1138</v>
      </c>
      <c r="E266" s="26" t="s">
        <v>1189</v>
      </c>
      <c r="F266" s="27" t="s">
        <v>1188</v>
      </c>
      <c r="G266" s="27" t="s">
        <v>1187</v>
      </c>
      <c r="H266" s="26" t="s">
        <v>43</v>
      </c>
      <c r="I266" s="39" t="s">
        <v>227</v>
      </c>
      <c r="J266" s="269" t="s">
        <v>226</v>
      </c>
      <c r="K266" s="269" t="s">
        <v>226</v>
      </c>
      <c r="L266" s="269" t="s">
        <v>226</v>
      </c>
      <c r="M266" s="189"/>
      <c r="N266" s="181" t="s">
        <v>27</v>
      </c>
      <c r="O266" s="62"/>
      <c r="P266" s="105" t="s">
        <v>126</v>
      </c>
      <c r="Q266" s="102" t="s">
        <v>164</v>
      </c>
      <c r="R266" s="105" t="s">
        <v>25</v>
      </c>
      <c r="S266" s="104"/>
      <c r="T266" s="106" t="s">
        <v>1175</v>
      </c>
      <c r="U266" s="106" t="s">
        <v>27</v>
      </c>
      <c r="V266" s="105" t="s">
        <v>24</v>
      </c>
      <c r="W266" s="3" t="s">
        <v>25</v>
      </c>
      <c r="X266" s="3" t="s">
        <v>25</v>
      </c>
      <c r="Y266" s="182"/>
      <c r="Z266" s="104" t="str">
        <f>_xlfn.LET(_xlpm.v,IF(ISTEXT(Y266),_xlfn.XLOOKUP(Y266,'JP-PINT'!A:A,'JP-PINT'!B:B),""),IF(ISERROR(_xlpm.v),"",_xlpm.v))</f>
        <v/>
      </c>
      <c r="AA266" s="181" t="s">
        <v>24</v>
      </c>
    </row>
    <row r="267" spans="1:27" ht="12.75" customHeight="1">
      <c r="A267" s="4" t="e">
        <f>IF(ISTEXT(E267),_xlfn.XLOOKUP(E267,'[1]SME09-01_LHM'!$D:$D,'[1]SME09-01_LHM'!$B:$B))</f>
        <v>#N/A</v>
      </c>
      <c r="B267" s="4" t="e">
        <f>_xlfn.XLOOKUP(F267,'[1]SME09-01_LHM'!$I:$I,'[1]SME09-01_LHM'!$B:$B)</f>
        <v>#N/A</v>
      </c>
      <c r="C267" s="22">
        <f>ROW()-25</f>
        <v>242</v>
      </c>
      <c r="D267" s="16" t="s">
        <v>1138</v>
      </c>
      <c r="E267" s="16" t="s">
        <v>1186</v>
      </c>
      <c r="F267" s="17" t="s">
        <v>1185</v>
      </c>
      <c r="G267" s="17" t="s">
        <v>1184</v>
      </c>
      <c r="H267" s="16" t="s">
        <v>8</v>
      </c>
      <c r="I267" s="39" t="s">
        <v>227</v>
      </c>
      <c r="J267" s="197" t="s">
        <v>226</v>
      </c>
      <c r="K267" s="197" t="s">
        <v>226</v>
      </c>
      <c r="L267" s="197" t="s">
        <v>226</v>
      </c>
      <c r="M267" s="186"/>
      <c r="N267" s="181" t="s">
        <v>27</v>
      </c>
      <c r="O267" s="62"/>
      <c r="P267" s="105" t="s">
        <v>126</v>
      </c>
      <c r="Q267" s="105" t="s">
        <v>162</v>
      </c>
      <c r="R267" s="105" t="s">
        <v>10</v>
      </c>
      <c r="S267" s="104" t="s">
        <v>161</v>
      </c>
      <c r="T267" s="106" t="s">
        <v>158</v>
      </c>
      <c r="U267" s="106" t="s">
        <v>739</v>
      </c>
      <c r="V267" s="152" t="s">
        <v>1183</v>
      </c>
      <c r="W267" s="3" t="s">
        <v>10</v>
      </c>
      <c r="X267" s="3" t="s">
        <v>10</v>
      </c>
      <c r="Y267" s="182"/>
      <c r="Z267" s="104" t="str">
        <f>_xlfn.LET(_xlpm.v,IF(ISTEXT(Y267),_xlfn.XLOOKUP(Y267,'JP-PINT'!A:A,'JP-PINT'!B:B),""),IF(ISERROR(_xlpm.v),"",_xlpm.v))</f>
        <v/>
      </c>
      <c r="AA267" s="181" t="s">
        <v>24</v>
      </c>
    </row>
    <row r="268" spans="1:27" ht="12.75" customHeight="1">
      <c r="A268" s="4">
        <f>IF(ISTEXT(E268),_xlfn.XLOOKUP(E268,'[1]SME09-01_LHM'!$D:$D,'[1]SME09-01_LHM'!$B:$B))</f>
        <v>353</v>
      </c>
      <c r="B268" s="4">
        <f>_xlfn.XLOOKUP(F268,'[1]SME09-01_LHM'!$I:$I,'[1]SME09-01_LHM'!$B:$B)</f>
        <v>353</v>
      </c>
      <c r="C268" s="22">
        <f>ROW()-25</f>
        <v>243</v>
      </c>
      <c r="D268" s="26" t="s">
        <v>1138</v>
      </c>
      <c r="E268" s="26" t="s">
        <v>1182</v>
      </c>
      <c r="F268" s="93" t="s">
        <v>2728</v>
      </c>
      <c r="G268" s="25" t="s">
        <v>1181</v>
      </c>
      <c r="H268" s="26" t="s">
        <v>8</v>
      </c>
      <c r="I268" s="26" t="s">
        <v>143</v>
      </c>
      <c r="J268" s="271" t="s">
        <v>256</v>
      </c>
      <c r="K268" s="271" t="s">
        <v>256</v>
      </c>
      <c r="L268" s="271" t="s">
        <v>256</v>
      </c>
      <c r="M268" s="272"/>
      <c r="N268" s="181" t="s">
        <v>27</v>
      </c>
      <c r="P268" s="105" t="s">
        <v>126</v>
      </c>
      <c r="Q268" s="105" t="s">
        <v>1180</v>
      </c>
      <c r="R268" s="105" t="s">
        <v>25</v>
      </c>
      <c r="S268" s="104"/>
      <c r="T268" s="106" t="s">
        <v>1175</v>
      </c>
      <c r="U268" s="106" t="s">
        <v>24</v>
      </c>
      <c r="V268" s="105" t="s">
        <v>24</v>
      </c>
      <c r="W268" s="3" t="s">
        <v>25</v>
      </c>
      <c r="X268" s="3" t="s">
        <v>25</v>
      </c>
      <c r="Y268" s="182" t="str">
        <f>_xlfn.LET(_xlpm.v,_xlfn.XLOOKUP(E268,'[1]SME09-01_LHM'!$D:$D,'[1]SME09-01_LHM'!$AL:$AL),IF(_xlpm.v=0,"",_xlpm.v))</f>
        <v/>
      </c>
      <c r="Z268" s="104" t="str">
        <f>_xlfn.LET(_xlpm.v,IF(ISTEXT(Y268),_xlfn.XLOOKUP(Y268,'JP-PINT'!A:A,'JP-PINT'!B:B),""),IF(ISERROR(_xlpm.v),"",_xlpm.v))</f>
        <v/>
      </c>
      <c r="AA268" s="181" t="s">
        <v>24</v>
      </c>
    </row>
    <row r="269" spans="1:27" ht="12.75" customHeight="1">
      <c r="A269" s="4">
        <f>IF(ISTEXT(E269),_xlfn.XLOOKUP(E269,'[1]SME09-01_LHM'!$D:$D,'[1]SME09-01_LHM'!$B:$B))</f>
        <v>355</v>
      </c>
      <c r="B269" s="4">
        <f>_xlfn.XLOOKUP(F269,'[1]SME09-01_LHM'!$I:$I,'[1]SME09-01_LHM'!$B:$B)</f>
        <v>355</v>
      </c>
      <c r="C269" s="22">
        <f>ROW()-25</f>
        <v>244</v>
      </c>
      <c r="D269" s="16" t="s">
        <v>1138</v>
      </c>
      <c r="E269" s="16" t="s">
        <v>1179</v>
      </c>
      <c r="F269" s="18" t="s">
        <v>1178</v>
      </c>
      <c r="G269" s="18" t="s">
        <v>1177</v>
      </c>
      <c r="H269" s="16" t="s">
        <v>31</v>
      </c>
      <c r="I269" s="16" t="s">
        <v>143</v>
      </c>
      <c r="J269" s="273" t="s">
        <v>256</v>
      </c>
      <c r="K269" s="273" t="s">
        <v>256</v>
      </c>
      <c r="L269" s="273" t="s">
        <v>256</v>
      </c>
      <c r="M269" s="195" t="s">
        <v>73</v>
      </c>
      <c r="N269" s="181" t="s">
        <v>27</v>
      </c>
      <c r="P269" s="105" t="s">
        <v>126</v>
      </c>
      <c r="Q269" s="105" t="s">
        <v>1176</v>
      </c>
      <c r="R269" s="105" t="s">
        <v>10</v>
      </c>
      <c r="S269" s="104"/>
      <c r="T269" s="106" t="s">
        <v>1175</v>
      </c>
      <c r="U269" s="106" t="s">
        <v>24</v>
      </c>
      <c r="V269" s="105" t="s">
        <v>24</v>
      </c>
      <c r="W269" s="3" t="s">
        <v>10</v>
      </c>
      <c r="X269" s="3" t="s">
        <v>10</v>
      </c>
      <c r="Y269" s="182" t="str">
        <f>_xlfn.LET(_xlpm.v,_xlfn.XLOOKUP(E269,'[1]SME09-01_LHM'!$D:$D,'[1]SME09-01_LHM'!$AL:$AL),IF(_xlpm.v=0,"",_xlpm.v))</f>
        <v/>
      </c>
      <c r="Z269" s="104" t="str">
        <f>_xlfn.LET(_xlpm.v,IF(ISTEXT(Y269),_xlfn.XLOOKUP(Y269,'JP-PINT'!A:A,'JP-PINT'!B:B),""),IF(ISERROR(_xlpm.v),"",_xlpm.v))</f>
        <v/>
      </c>
      <c r="AA269" s="181" t="s">
        <v>24</v>
      </c>
    </row>
    <row r="270" spans="1:27" s="6" customFormat="1" ht="12.75" customHeight="1">
      <c r="A270" s="4">
        <f>IF(ISTEXT(E270),_xlfn.XLOOKUP(E270,'[1]SME09-01_LHM'!$D:$D,'[1]SME09-01_LHM'!$B:$B))</f>
        <v>356</v>
      </c>
      <c r="B270" s="4">
        <f>_xlfn.XLOOKUP(F270,'[1]SME09-01_LHM'!$I:$I,'[1]SME09-01_LHM'!$B:$B)</f>
        <v>356</v>
      </c>
      <c r="C270" s="22">
        <f>ROW()-25</f>
        <v>245</v>
      </c>
      <c r="D270" s="16" t="s">
        <v>1138</v>
      </c>
      <c r="E270" s="16" t="s">
        <v>1174</v>
      </c>
      <c r="F270" s="18" t="s">
        <v>1173</v>
      </c>
      <c r="G270" s="18" t="s">
        <v>1172</v>
      </c>
      <c r="H270" s="16" t="s">
        <v>8</v>
      </c>
      <c r="I270" s="21" t="s">
        <v>143</v>
      </c>
      <c r="J270" s="273" t="s">
        <v>256</v>
      </c>
      <c r="K270" s="273" t="s">
        <v>256</v>
      </c>
      <c r="L270" s="273" t="s">
        <v>256</v>
      </c>
      <c r="M270" s="195" t="s">
        <v>73</v>
      </c>
      <c r="N270" s="181" t="s">
        <v>27</v>
      </c>
      <c r="O270" s="7"/>
      <c r="P270" s="105" t="s">
        <v>126</v>
      </c>
      <c r="Q270" s="105" t="s">
        <v>1171</v>
      </c>
      <c r="R270" s="105" t="s">
        <v>10</v>
      </c>
      <c r="S270" s="104"/>
      <c r="T270" s="103"/>
      <c r="U270" s="103" t="s">
        <v>24</v>
      </c>
      <c r="V270" s="105" t="s">
        <v>24</v>
      </c>
      <c r="W270" s="3" t="s">
        <v>10</v>
      </c>
      <c r="X270" s="3" t="s">
        <v>10</v>
      </c>
      <c r="Y270" s="182" t="str">
        <f>_xlfn.LET(_xlpm.v,_xlfn.XLOOKUP(E270,'[1]SME09-01_LHM'!$D:$D,'[1]SME09-01_LHM'!$AL:$AL),IF(_xlpm.v=0,"",_xlpm.v))</f>
        <v/>
      </c>
      <c r="Z270" s="104" t="str">
        <f>_xlfn.LET(_xlpm.v,IF(ISTEXT(Y270),_xlfn.XLOOKUP(Y270,'JP-PINT'!A:A,'JP-PINT'!B:B),""),IF(ISERROR(_xlpm.v),"",_xlpm.v))</f>
        <v/>
      </c>
      <c r="AA270" s="181" t="s">
        <v>24</v>
      </c>
    </row>
    <row r="271" spans="1:27" s="137" customFormat="1" ht="12.75" customHeight="1">
      <c r="A271" s="4">
        <f>IF(ISTEXT(E271),_xlfn.XLOOKUP(E271,'[1]SME09-01_LHM'!$D:$D,'[1]SME09-01_LHM'!$B:$B))</f>
        <v>357</v>
      </c>
      <c r="B271" s="4">
        <f>_xlfn.XLOOKUP(F271,'[1]SME09-01_LHM'!$I:$I,'[1]SME09-01_LHM'!$B:$B)</f>
        <v>357</v>
      </c>
      <c r="C271" s="102">
        <f>ROW()-25</f>
        <v>246</v>
      </c>
      <c r="D271" s="103" t="s">
        <v>1138</v>
      </c>
      <c r="E271" s="103" t="s">
        <v>1170</v>
      </c>
      <c r="F271" s="105" t="s">
        <v>1169</v>
      </c>
      <c r="G271" s="105" t="s">
        <v>1168</v>
      </c>
      <c r="H271" s="103" t="s">
        <v>8</v>
      </c>
      <c r="I271" s="70" t="s">
        <v>143</v>
      </c>
      <c r="J271" s="274" t="s">
        <v>256</v>
      </c>
      <c r="K271" s="274" t="s">
        <v>256</v>
      </c>
      <c r="L271" s="274" t="s">
        <v>256</v>
      </c>
      <c r="M271" s="193" t="s">
        <v>73</v>
      </c>
      <c r="N271" s="231" t="s">
        <v>27</v>
      </c>
      <c r="O271" s="136"/>
      <c r="P271" s="105" t="s">
        <v>126</v>
      </c>
      <c r="Q271" s="105" t="s">
        <v>1167</v>
      </c>
      <c r="R271" s="105" t="s">
        <v>10</v>
      </c>
      <c r="S271" s="198" t="s">
        <v>313</v>
      </c>
      <c r="T271" s="71" t="s">
        <v>158</v>
      </c>
      <c r="U271" s="71" t="s">
        <v>24</v>
      </c>
      <c r="V271" s="66" t="s">
        <v>24</v>
      </c>
      <c r="W271" s="107" t="s">
        <v>10</v>
      </c>
      <c r="X271" s="107" t="s">
        <v>10</v>
      </c>
      <c r="Y271" s="192" t="str">
        <f>_xlfn.LET(_xlpm.v,_xlfn.XLOOKUP(E271,'[1]SME09-01_LHM'!$D:$D,'[1]SME09-01_LHM'!$AL:$AL),IF(_xlpm.v=0,"",_xlpm.v))</f>
        <v/>
      </c>
      <c r="Z271" s="104" t="str">
        <f>_xlfn.LET(_xlpm.v,IF(ISTEXT(Y271),_xlfn.XLOOKUP(Y271,'JP-PINT'!A:A,'JP-PINT'!B:B),""),IF(ISERROR(_xlpm.v),"",_xlpm.v))</f>
        <v/>
      </c>
      <c r="AA271" s="223" t="s">
        <v>24</v>
      </c>
    </row>
    <row r="272" spans="1:27" ht="12.75" customHeight="1">
      <c r="A272" s="4">
        <f>IF(ISTEXT(E272),_xlfn.XLOOKUP(E272,'[1]SME09-01_LHM'!$D:$D,'[1]SME09-01_LHM'!$B:$B))</f>
        <v>358</v>
      </c>
      <c r="B272" s="4">
        <f>_xlfn.XLOOKUP(F272,'[1]SME09-01_LHM'!$I:$I,'[1]SME09-01_LHM'!$B:$B)</f>
        <v>358</v>
      </c>
      <c r="C272" s="22">
        <f>ROW()-25</f>
        <v>247</v>
      </c>
      <c r="D272" s="26" t="s">
        <v>1138</v>
      </c>
      <c r="E272" s="26" t="s">
        <v>1166</v>
      </c>
      <c r="F272" s="101" t="s">
        <v>2729</v>
      </c>
      <c r="G272" s="27" t="s">
        <v>1165</v>
      </c>
      <c r="H272" s="26" t="s">
        <v>43</v>
      </c>
      <c r="I272" s="26" t="s">
        <v>52</v>
      </c>
      <c r="J272" s="201" t="s">
        <v>505</v>
      </c>
      <c r="K272" s="201" t="s">
        <v>505</v>
      </c>
      <c r="L272" s="201" t="s">
        <v>505</v>
      </c>
      <c r="M272" s="189"/>
      <c r="N272" s="181" t="s">
        <v>46</v>
      </c>
      <c r="P272" s="105" t="s">
        <v>126</v>
      </c>
      <c r="Q272" s="105" t="s">
        <v>1164</v>
      </c>
      <c r="R272" s="105" t="s">
        <v>25</v>
      </c>
      <c r="S272" s="104"/>
      <c r="T272" s="106" t="s">
        <v>24</v>
      </c>
      <c r="U272" s="106" t="s">
        <v>24</v>
      </c>
      <c r="V272" s="105" t="s">
        <v>24</v>
      </c>
      <c r="W272" s="3" t="s">
        <v>25</v>
      </c>
      <c r="X272" s="3" t="s">
        <v>25</v>
      </c>
      <c r="Y272" s="182" t="str">
        <f>_xlfn.LET(_xlpm.v,_xlfn.XLOOKUP(E272,'[1]SME09-01_LHM'!$D:$D,'[1]SME09-01_LHM'!$AL:$AL),IF(_xlpm.v=0,"",_xlpm.v))</f>
        <v>IBG-35</v>
      </c>
      <c r="Z272" s="104" t="str">
        <f>_xlfn.LET(_xlpm.v,IF(ISTEXT(Y272),_xlfn.XLOOKUP(Y272,'JP-PINT'!A:A,'JP-PINT'!B:B),""),IF(ISERROR(_xlpm.v),"",_xlpm.v))</f>
        <v>Paid amounts</v>
      </c>
      <c r="AA272" s="23" t="s">
        <v>43</v>
      </c>
    </row>
    <row r="273" spans="1:27" ht="12.75" customHeight="1">
      <c r="A273" s="4">
        <f>IF(ISTEXT(E273),_xlfn.XLOOKUP(E273,'[1]SME09-01_LHM'!$D:$D,'[1]SME09-01_LHM'!$B:$B))</f>
        <v>360</v>
      </c>
      <c r="B273" s="4">
        <f>_xlfn.XLOOKUP(F273,'[1]SME09-01_LHM'!$I:$I,'[1]SME09-01_LHM'!$B:$B)</f>
        <v>360</v>
      </c>
      <c r="C273" s="22">
        <f>ROW()-25</f>
        <v>248</v>
      </c>
      <c r="D273" s="16" t="s">
        <v>1138</v>
      </c>
      <c r="E273" s="16" t="s">
        <v>1162</v>
      </c>
      <c r="F273" s="101" t="s">
        <v>2730</v>
      </c>
      <c r="G273" s="17" t="s">
        <v>1161</v>
      </c>
      <c r="H273" s="16" t="s">
        <v>8</v>
      </c>
      <c r="I273" s="16" t="s">
        <v>52</v>
      </c>
      <c r="J273" s="188" t="s">
        <v>505</v>
      </c>
      <c r="K273" s="188" t="s">
        <v>505</v>
      </c>
      <c r="L273" s="188" t="s">
        <v>505</v>
      </c>
      <c r="M273" s="186"/>
      <c r="N273" s="181" t="s">
        <v>183</v>
      </c>
      <c r="P273" s="105" t="s">
        <v>126</v>
      </c>
      <c r="Q273" s="105" t="s">
        <v>1160</v>
      </c>
      <c r="R273" s="105" t="s">
        <v>10</v>
      </c>
      <c r="S273" s="104"/>
      <c r="T273" s="106"/>
      <c r="U273" s="106" t="s">
        <v>24</v>
      </c>
      <c r="V273" s="105" t="s">
        <v>24</v>
      </c>
      <c r="W273" s="3" t="s">
        <v>10</v>
      </c>
      <c r="X273" s="3" t="s">
        <v>10</v>
      </c>
      <c r="Y273" s="182" t="str">
        <f>_xlfn.LET(_xlpm.v,_xlfn.XLOOKUP(E273,'[1]SME09-01_LHM'!$D:$D,'[1]SME09-01_LHM'!$AL:$AL),IF(_xlpm.v=0,"",_xlpm.v))</f>
        <v>IBT-180</v>
      </c>
      <c r="Z273" s="104" t="str">
        <f>_xlfn.LET(_xlpm.v,IF(ISTEXT(Y273),_xlfn.XLOOKUP(Y273,'JP-PINT'!A:A,'JP-PINT'!B:B),""),IF(ISERROR(_xlpm.v),"",_xlpm.v))</f>
        <v>&gt; Paid amount</v>
      </c>
      <c r="AA273" s="23" t="s">
        <v>31</v>
      </c>
    </row>
    <row r="274" spans="1:27" ht="12.75" customHeight="1">
      <c r="A274" s="4">
        <f>IF(ISTEXT(E274),_xlfn.XLOOKUP(E274,'[1]SME09-01_LHM'!$D:$D,'[1]SME09-01_LHM'!$B:$B))</f>
        <v>361</v>
      </c>
      <c r="B274" s="4">
        <f>_xlfn.XLOOKUP(F274,'[1]SME09-01_LHM'!$I:$I,'[1]SME09-01_LHM'!$B:$B)</f>
        <v>361</v>
      </c>
      <c r="C274" s="22">
        <f>ROW()-25</f>
        <v>249</v>
      </c>
      <c r="D274" s="16" t="s">
        <v>1138</v>
      </c>
      <c r="E274" s="16" t="s">
        <v>1158</v>
      </c>
      <c r="F274" s="17" t="s">
        <v>1157</v>
      </c>
      <c r="G274" s="17" t="s">
        <v>1156</v>
      </c>
      <c r="H274" s="16" t="s">
        <v>8</v>
      </c>
      <c r="I274" s="16" t="s">
        <v>52</v>
      </c>
      <c r="J274" s="188" t="s">
        <v>505</v>
      </c>
      <c r="K274" s="188" t="s">
        <v>505</v>
      </c>
      <c r="L274" s="188" t="s">
        <v>505</v>
      </c>
      <c r="M274" s="186"/>
      <c r="N274" s="181" t="s">
        <v>46</v>
      </c>
      <c r="P274" s="105" t="s">
        <v>126</v>
      </c>
      <c r="Q274" s="105" t="s">
        <v>1155</v>
      </c>
      <c r="R274" s="105" t="s">
        <v>10</v>
      </c>
      <c r="S274" s="104"/>
      <c r="T274" s="106"/>
      <c r="U274" s="106" t="s">
        <v>24</v>
      </c>
      <c r="V274" s="105" t="s">
        <v>24</v>
      </c>
      <c r="W274" s="3" t="s">
        <v>10</v>
      </c>
      <c r="X274" s="3" t="s">
        <v>10</v>
      </c>
      <c r="Y274" s="182" t="str">
        <f>_xlfn.LET(_xlpm.v,_xlfn.XLOOKUP(E274,'[1]SME09-01_LHM'!$D:$D,'[1]SME09-01_LHM'!$AL:$AL),IF(_xlpm.v=0,"",_xlpm.v))</f>
        <v>IBT-181</v>
      </c>
      <c r="Z274" s="104" t="str">
        <f>_xlfn.LET(_xlpm.v,IF(ISTEXT(Y274),_xlfn.XLOOKUP(Y274,'JP-PINT'!A:A,'JP-PINT'!B:B),""),IF(ISERROR(_xlpm.v),"",_xlpm.v))</f>
        <v>&gt; The date when the paid amount is debited to the invoice.</v>
      </c>
      <c r="AA274" s="23" t="s">
        <v>8</v>
      </c>
    </row>
    <row r="275" spans="1:27" ht="12.75" customHeight="1">
      <c r="A275" s="4">
        <f>IF(ISTEXT(E275),_xlfn.XLOOKUP(E275,'[1]SME09-01_LHM'!$D:$D,'[1]SME09-01_LHM'!$B:$B))</f>
        <v>362</v>
      </c>
      <c r="B275" s="4">
        <f>_xlfn.XLOOKUP(F275,'[1]SME09-01_LHM'!$I:$I,'[1]SME09-01_LHM'!$B:$B)</f>
        <v>362</v>
      </c>
      <c r="C275" s="22">
        <f>ROW()-25</f>
        <v>250</v>
      </c>
      <c r="D275" s="16" t="s">
        <v>1138</v>
      </c>
      <c r="E275" s="16" t="s">
        <v>1153</v>
      </c>
      <c r="F275" s="17" t="s">
        <v>1152</v>
      </c>
      <c r="G275" s="17" t="s">
        <v>1151</v>
      </c>
      <c r="H275" s="16" t="s">
        <v>8</v>
      </c>
      <c r="I275" s="16" t="s">
        <v>52</v>
      </c>
      <c r="J275" s="188" t="s">
        <v>505</v>
      </c>
      <c r="K275" s="188" t="s">
        <v>505</v>
      </c>
      <c r="L275" s="188" t="s">
        <v>505</v>
      </c>
      <c r="M275" s="186"/>
      <c r="N275" s="181" t="s">
        <v>46</v>
      </c>
      <c r="P275" s="105" t="s">
        <v>126</v>
      </c>
      <c r="Q275" s="105" t="s">
        <v>1150</v>
      </c>
      <c r="R275" s="105" t="s">
        <v>10</v>
      </c>
      <c r="S275" s="104"/>
      <c r="T275" s="106" t="s">
        <v>133</v>
      </c>
      <c r="U275" s="106" t="s">
        <v>24</v>
      </c>
      <c r="V275" s="105" t="s">
        <v>24</v>
      </c>
      <c r="W275" s="3" t="s">
        <v>10</v>
      </c>
      <c r="X275" s="3" t="s">
        <v>10</v>
      </c>
      <c r="Y275" s="182" t="str">
        <f>_xlfn.LET(_xlpm.v,_xlfn.XLOOKUP(E275,'[1]SME09-01_LHM'!$D:$D,'[1]SME09-01_LHM'!$AL:$AL),IF(_xlpm.v=0,"",_xlpm.v))</f>
        <v>IBT-179</v>
      </c>
      <c r="Z275" s="104" t="str">
        <f>_xlfn.LET(_xlpm.v,IF(ISTEXT(Y275),_xlfn.XLOOKUP(Y275,'JP-PINT'!A:A,'JP-PINT'!B:B),""),IF(ISERROR(_xlpm.v),"",_xlpm.v))</f>
        <v>&gt; Payment identifier</v>
      </c>
      <c r="AA275" s="23" t="s">
        <v>8</v>
      </c>
    </row>
    <row r="276" spans="1:27" ht="12.75" customHeight="1">
      <c r="A276" s="4">
        <f>IF(ISTEXT(E276),_xlfn.XLOOKUP(E276,'[1]SME09-01_LHM'!$D:$D,'[1]SME09-01_LHM'!$B:$B))</f>
        <v>363</v>
      </c>
      <c r="B276" s="4">
        <f>_xlfn.XLOOKUP(F276,'[1]SME09-01_LHM'!$I:$I,'[1]SME09-01_LHM'!$B:$B)</f>
        <v>363</v>
      </c>
      <c r="C276" s="18">
        <f>ROW()-25</f>
        <v>251</v>
      </c>
      <c r="D276" s="26" t="s">
        <v>1138</v>
      </c>
      <c r="E276" s="26" t="s">
        <v>1148</v>
      </c>
      <c r="F276" s="101" t="s">
        <v>2731</v>
      </c>
      <c r="G276" s="27" t="s">
        <v>1147</v>
      </c>
      <c r="H276" s="26" t="s">
        <v>8</v>
      </c>
      <c r="I276" s="39" t="s">
        <v>227</v>
      </c>
      <c r="J276" s="201" t="s">
        <v>18</v>
      </c>
      <c r="K276" s="201" t="s">
        <v>18</v>
      </c>
      <c r="L276" s="201" t="s">
        <v>18</v>
      </c>
      <c r="M276" s="189"/>
      <c r="N276" s="181"/>
      <c r="O276" s="3"/>
      <c r="P276" s="105" t="s">
        <v>941</v>
      </c>
      <c r="Q276" s="105" t="s">
        <v>1146</v>
      </c>
      <c r="R276" s="105" t="s">
        <v>25</v>
      </c>
      <c r="S276" s="104"/>
      <c r="T276" s="103"/>
      <c r="U276" s="103"/>
      <c r="V276" s="104"/>
      <c r="W276" s="3" t="s">
        <v>25</v>
      </c>
      <c r="X276" s="3" t="s">
        <v>25</v>
      </c>
      <c r="Y276" s="182" t="str">
        <f>_xlfn.LET(_xlpm.v,_xlfn.XLOOKUP(E276,'[1]SME09-01_LHM'!$D:$D,'[1]SME09-01_LHM'!$AL:$AL),IF(_xlpm.v=0,"",_xlpm.v))</f>
        <v/>
      </c>
      <c r="Z276" s="104" t="str">
        <f>_xlfn.LET(_xlpm.v,IF(ISTEXT(Y276),_xlfn.XLOOKUP(Y276,'JP-PINT'!A:A,'JP-PINT'!B:B),""),IF(ISERROR(_xlpm.v),"",_xlpm.v))</f>
        <v/>
      </c>
      <c r="AA276" s="16"/>
    </row>
    <row r="277" spans="1:27" s="6" customFormat="1" ht="12.75" customHeight="1">
      <c r="A277" s="4">
        <f>IF(ISTEXT(E277),_xlfn.XLOOKUP(E277,'[1]SME09-01_LHM'!$D:$D,'[1]SME09-01_LHM'!$B:$B))</f>
        <v>365</v>
      </c>
      <c r="B277" s="4">
        <f>_xlfn.XLOOKUP(F277,'[1]SME09-01_LHM'!$I:$I,'[1]SME09-01_LHM'!$B:$B)</f>
        <v>365</v>
      </c>
      <c r="C277" s="18">
        <f>ROW()-25</f>
        <v>252</v>
      </c>
      <c r="D277" s="16" t="s">
        <v>1138</v>
      </c>
      <c r="E277" s="16" t="s">
        <v>1145</v>
      </c>
      <c r="F277" s="17" t="s">
        <v>1144</v>
      </c>
      <c r="G277" s="17" t="s">
        <v>1143</v>
      </c>
      <c r="H277" s="16" t="s">
        <v>8</v>
      </c>
      <c r="I277" s="39" t="s">
        <v>227</v>
      </c>
      <c r="J277" s="188" t="s">
        <v>18</v>
      </c>
      <c r="K277" s="181" t="s">
        <v>18</v>
      </c>
      <c r="L277" s="181" t="s">
        <v>18</v>
      </c>
      <c r="M277" s="186"/>
      <c r="N277" s="181"/>
      <c r="O277" s="3"/>
      <c r="P277" s="105" t="s">
        <v>941</v>
      </c>
      <c r="Q277" s="105" t="s">
        <v>327</v>
      </c>
      <c r="R277" s="105" t="s">
        <v>10</v>
      </c>
      <c r="S277" s="104"/>
      <c r="T277" s="106"/>
      <c r="U277" s="106"/>
      <c r="V277" s="104"/>
      <c r="W277" s="3" t="s">
        <v>10</v>
      </c>
      <c r="X277" s="3" t="s">
        <v>10</v>
      </c>
      <c r="Y277" s="182" t="str">
        <f>_xlfn.LET(_xlpm.v,_xlfn.XLOOKUP(E277,'[1]SME09-01_LHM'!$D:$D,'[1]SME09-01_LHM'!$AL:$AL),IF(_xlpm.v=0,"",_xlpm.v))</f>
        <v/>
      </c>
      <c r="Z277" s="104" t="str">
        <f>_xlfn.LET(_xlpm.v,IF(ISTEXT(Y277),_xlfn.XLOOKUP(Y277,'JP-PINT'!A:A,'JP-PINT'!B:B),""),IF(ISERROR(_xlpm.v),"",_xlpm.v))</f>
        <v/>
      </c>
      <c r="AA277" s="16"/>
    </row>
    <row r="278" spans="1:27" s="6" customFormat="1" ht="12.75" customHeight="1">
      <c r="A278" s="4">
        <f>IF(ISTEXT(E278),_xlfn.XLOOKUP(E278,'[1]SME09-01_LHM'!$D:$D,'[1]SME09-01_LHM'!$B:$B))</f>
        <v>366</v>
      </c>
      <c r="B278" s="4">
        <f>_xlfn.XLOOKUP(F278,'[1]SME09-01_LHM'!$I:$I,'[1]SME09-01_LHM'!$B:$B)</f>
        <v>366</v>
      </c>
      <c r="C278" s="22">
        <f>ROW()-25</f>
        <v>253</v>
      </c>
      <c r="D278" s="26" t="s">
        <v>1138</v>
      </c>
      <c r="E278" s="29" t="s">
        <v>1142</v>
      </c>
      <c r="F278" s="101" t="s">
        <v>2732</v>
      </c>
      <c r="G278" s="27" t="s">
        <v>1141</v>
      </c>
      <c r="H278" s="26" t="s">
        <v>8</v>
      </c>
      <c r="I278" s="26" t="s">
        <v>52</v>
      </c>
      <c r="J278" s="201" t="s">
        <v>505</v>
      </c>
      <c r="K278" s="199" t="s">
        <v>505</v>
      </c>
      <c r="L278" s="199" t="s">
        <v>505</v>
      </c>
      <c r="M278" s="189"/>
      <c r="N278" s="181" t="s">
        <v>27</v>
      </c>
      <c r="O278" s="3"/>
      <c r="P278" s="105" t="s">
        <v>941</v>
      </c>
      <c r="Q278" s="102" t="s">
        <v>1140</v>
      </c>
      <c r="R278" s="105" t="s">
        <v>25</v>
      </c>
      <c r="S278" s="105"/>
      <c r="T278" s="106" t="s">
        <v>1139</v>
      </c>
      <c r="U278" s="106" t="s">
        <v>103</v>
      </c>
      <c r="V278" s="104" t="s">
        <v>103</v>
      </c>
      <c r="W278" s="3" t="s">
        <v>25</v>
      </c>
      <c r="X278" s="3" t="s">
        <v>25</v>
      </c>
      <c r="Y278" s="182" t="str">
        <f>_xlfn.LET(_xlpm.v,_xlfn.XLOOKUP(E278,'[1]SME09-01_LHM'!$D:$D,'[1]SME09-01_LHM'!$AL:$AL),IF(_xlpm.v=0,"",_xlpm.v))</f>
        <v/>
      </c>
      <c r="Z278" s="104" t="str">
        <f>_xlfn.LET(_xlpm.v,IF(ISTEXT(Y278),_xlfn.XLOOKUP(Y278,'JP-PINT'!A:A,'JP-PINT'!B:B),""),IF(ISERROR(_xlpm.v),"",_xlpm.v))</f>
        <v/>
      </c>
      <c r="AA278" s="181" t="s">
        <v>27</v>
      </c>
    </row>
    <row r="279" spans="1:27" ht="12.75" customHeight="1">
      <c r="A279" s="4">
        <f>IF(ISTEXT(E279),_xlfn.XLOOKUP(E279,'[1]SME09-01_LHM'!$D:$D,'[1]SME09-01_LHM'!$B:$B))</f>
        <v>368</v>
      </c>
      <c r="B279" s="4">
        <f>_xlfn.XLOOKUP(F279,'[1]SME09-01_LHM'!$I:$I,'[1]SME09-01_LHM'!$B:$B)</f>
        <v>368</v>
      </c>
      <c r="C279" s="22">
        <f>ROW()-25</f>
        <v>254</v>
      </c>
      <c r="D279" s="16" t="s">
        <v>1138</v>
      </c>
      <c r="E279" s="16" t="s">
        <v>1137</v>
      </c>
      <c r="F279" s="17" t="s">
        <v>1136</v>
      </c>
      <c r="G279" s="17" t="s">
        <v>1135</v>
      </c>
      <c r="H279" s="16" t="s">
        <v>8</v>
      </c>
      <c r="I279" s="16" t="s">
        <v>19</v>
      </c>
      <c r="J279" s="188" t="s">
        <v>18</v>
      </c>
      <c r="K279" s="188" t="s">
        <v>18</v>
      </c>
      <c r="L279" s="188" t="s">
        <v>18</v>
      </c>
      <c r="M279" s="186"/>
      <c r="N279" s="181" t="s">
        <v>46</v>
      </c>
      <c r="O279" s="3"/>
      <c r="P279" s="105" t="s">
        <v>941</v>
      </c>
      <c r="Q279" s="105" t="s">
        <v>1134</v>
      </c>
      <c r="R279" s="105" t="s">
        <v>10</v>
      </c>
      <c r="S279" s="105" t="s">
        <v>1133</v>
      </c>
      <c r="T279" s="106" t="s">
        <v>158</v>
      </c>
      <c r="U279" s="106" t="s">
        <v>103</v>
      </c>
      <c r="V279" s="104" t="s">
        <v>103</v>
      </c>
      <c r="W279" s="3" t="s">
        <v>10</v>
      </c>
      <c r="X279" s="3" t="s">
        <v>10</v>
      </c>
      <c r="Y279" s="182" t="str">
        <f>_xlfn.LET(_xlpm.v,_xlfn.XLOOKUP(E279,'[1]SME09-01_LHM'!$D:$D,'[1]SME09-01_LHM'!$AL:$AL),IF(_xlpm.v=0,"",_xlpm.v))</f>
        <v>IBT-182</v>
      </c>
      <c r="Z279" s="104" t="str">
        <f>_xlfn.LET(_xlpm.v,IF(ISTEXT(Y279),_xlfn.XLOOKUP(Y279,'JP-PINT'!A:A,'JP-PINT'!B:B),""),IF(ISERROR(_xlpm.v),"",_xlpm.v))</f>
        <v>&gt; Payment type</v>
      </c>
      <c r="AA279" s="23" t="s">
        <v>28</v>
      </c>
    </row>
    <row r="280" spans="1:27" ht="12.75" customHeight="1">
      <c r="A280" s="4">
        <f>IF(ISTEXT(E280),_xlfn.XLOOKUP(E280,'[1]SME09-01_LHM'!$D:$D,'[1]SME09-01_LHM'!$B:$B))</f>
        <v>371</v>
      </c>
      <c r="B280" s="4">
        <f>_xlfn.XLOOKUP(F280,'[1]SME09-01_LHM'!$I:$I,'[1]SME09-01_LHM'!$B:$B)</f>
        <v>371</v>
      </c>
      <c r="C280" s="22">
        <f>ROW()-25</f>
        <v>255</v>
      </c>
      <c r="D280" s="26" t="s">
        <v>622</v>
      </c>
      <c r="E280" s="26" t="s">
        <v>1131</v>
      </c>
      <c r="F280" s="93" t="s">
        <v>2733</v>
      </c>
      <c r="G280" s="25" t="s">
        <v>1130</v>
      </c>
      <c r="H280" s="26" t="s">
        <v>371</v>
      </c>
      <c r="I280" s="26" t="s">
        <v>143</v>
      </c>
      <c r="J280" s="33" t="s">
        <v>79</v>
      </c>
      <c r="K280" s="201" t="s">
        <v>79</v>
      </c>
      <c r="L280" s="201" t="s">
        <v>79</v>
      </c>
      <c r="M280" s="76"/>
      <c r="N280" s="181" t="s">
        <v>27</v>
      </c>
      <c r="O280" s="7" t="s">
        <v>103</v>
      </c>
      <c r="P280" s="105" t="s">
        <v>126</v>
      </c>
      <c r="Q280" s="105" t="s">
        <v>1129</v>
      </c>
      <c r="R280" s="105" t="s">
        <v>25</v>
      </c>
      <c r="S280" s="104"/>
      <c r="T280" s="151" t="s">
        <v>103</v>
      </c>
      <c r="U280" s="151" t="s">
        <v>24</v>
      </c>
      <c r="V280" s="105" t="s">
        <v>24</v>
      </c>
      <c r="W280" s="3" t="s">
        <v>25</v>
      </c>
      <c r="X280" s="3" t="s">
        <v>25</v>
      </c>
      <c r="Y280" s="182" t="str">
        <f>_xlfn.LET(_xlpm.v,_xlfn.XLOOKUP(E280,'[1]SME09-01_LHM'!$D:$D,'[1]SME09-01_LHM'!$AL:$AL),IF(_xlpm.v=0,"",_xlpm.v))</f>
        <v/>
      </c>
      <c r="Z280" s="104" t="str">
        <f>_xlfn.LET(_xlpm.v,IF(ISTEXT(Y280),_xlfn.XLOOKUP(Y280,'JP-PINT'!A:A,'JP-PINT'!B:B),""),IF(ISERROR(_xlpm.v),"",_xlpm.v))</f>
        <v/>
      </c>
      <c r="AA280" s="181" t="s">
        <v>24</v>
      </c>
    </row>
    <row r="281" spans="1:27" s="137" customFormat="1" ht="12.75" customHeight="1">
      <c r="A281" s="4">
        <f>IF(ISTEXT(E281),_xlfn.XLOOKUP(E281,'[1]SME09-01_LHM'!$D:$D,'[1]SME09-01_LHM'!$B:$B))</f>
        <v>373</v>
      </c>
      <c r="B281" s="4">
        <f>_xlfn.XLOOKUP(F281,'[1]SME09-01_LHM'!$I:$I,'[1]SME09-01_LHM'!$B:$B)</f>
        <v>373</v>
      </c>
      <c r="C281" s="102">
        <f>ROW()-25</f>
        <v>256</v>
      </c>
      <c r="D281" s="103" t="s">
        <v>622</v>
      </c>
      <c r="E281" s="103" t="s">
        <v>1128</v>
      </c>
      <c r="F281" s="105" t="s">
        <v>1127</v>
      </c>
      <c r="G281" s="105" t="s">
        <v>1126</v>
      </c>
      <c r="H281" s="103" t="s">
        <v>31</v>
      </c>
      <c r="I281" s="103" t="s">
        <v>143</v>
      </c>
      <c r="J281" s="223" t="s">
        <v>574</v>
      </c>
      <c r="K281" s="223" t="s">
        <v>574</v>
      </c>
      <c r="L281" s="223" t="s">
        <v>574</v>
      </c>
      <c r="M281" s="191"/>
      <c r="N281" s="223"/>
      <c r="O281" s="136" t="s">
        <v>79</v>
      </c>
      <c r="P281" s="105" t="s">
        <v>126</v>
      </c>
      <c r="Q281" s="105" t="s">
        <v>1125</v>
      </c>
      <c r="R281" s="105" t="s">
        <v>10</v>
      </c>
      <c r="S281" s="104"/>
      <c r="T281" s="103" t="s">
        <v>103</v>
      </c>
      <c r="U281" s="103" t="s">
        <v>24</v>
      </c>
      <c r="V281" s="105" t="s">
        <v>24</v>
      </c>
      <c r="W281" s="107" t="s">
        <v>10</v>
      </c>
      <c r="X281" s="107" t="s">
        <v>10</v>
      </c>
      <c r="Y281" s="192" t="str">
        <f>_xlfn.LET(_xlpm.v,_xlfn.XLOOKUP(E281,'[1]SME09-01_LHM'!$D:$D,'[1]SME09-01_LHM'!$AL:$AL),IF(_xlpm.v=0,"",_xlpm.v))</f>
        <v/>
      </c>
      <c r="Z281" s="104" t="str">
        <f>_xlfn.LET(_xlpm.v,IF(ISTEXT(Y281),_xlfn.XLOOKUP(Y281,'JP-PINT'!A:A,'JP-PINT'!B:B),""),IF(ISERROR(_xlpm.v),"",_xlpm.v))</f>
        <v/>
      </c>
      <c r="AA281" s="223" t="s">
        <v>24</v>
      </c>
    </row>
    <row r="282" spans="1:27" ht="12.75" customHeight="1">
      <c r="A282" s="4">
        <f>IF(ISTEXT(E282),_xlfn.XLOOKUP(E282,'[1]SME09-01_LHM'!$D:$D,'[1]SME09-01_LHM'!$B:$B))</f>
        <v>374</v>
      </c>
      <c r="B282" s="4">
        <f>_xlfn.XLOOKUP(F282,'[1]SME09-01_LHM'!$I:$I,'[1]SME09-01_LHM'!$B:$B)</f>
        <v>374</v>
      </c>
      <c r="C282" s="22">
        <f>ROW()-25</f>
        <v>257</v>
      </c>
      <c r="D282" s="16" t="s">
        <v>622</v>
      </c>
      <c r="E282" s="16" t="s">
        <v>1124</v>
      </c>
      <c r="F282" s="18" t="s">
        <v>1123</v>
      </c>
      <c r="G282" s="18" t="s">
        <v>1122</v>
      </c>
      <c r="H282" s="16" t="s">
        <v>8</v>
      </c>
      <c r="I282" s="16" t="s">
        <v>143</v>
      </c>
      <c r="J282" s="188" t="s">
        <v>66</v>
      </c>
      <c r="K282" s="181" t="s">
        <v>66</v>
      </c>
      <c r="L282" s="181" t="s">
        <v>66</v>
      </c>
      <c r="M282" s="186"/>
      <c r="N282" s="181" t="s">
        <v>103</v>
      </c>
      <c r="P282" s="105" t="s">
        <v>126</v>
      </c>
      <c r="Q282" s="105" t="s">
        <v>1121</v>
      </c>
      <c r="R282" s="105" t="s">
        <v>10</v>
      </c>
      <c r="S282" s="104" t="s">
        <v>64</v>
      </c>
      <c r="T282" s="106" t="s">
        <v>63</v>
      </c>
      <c r="U282" s="106" t="s">
        <v>367</v>
      </c>
      <c r="V282" s="105" t="s">
        <v>1120</v>
      </c>
      <c r="W282" s="3" t="s">
        <v>10</v>
      </c>
      <c r="X282" s="3" t="s">
        <v>10</v>
      </c>
      <c r="Y282" s="182" t="str">
        <f>_xlfn.LET(_xlpm.v,_xlfn.XLOOKUP(E282,'[1]SME09-01_LHM'!$D:$D,'[1]SME09-01_LHM'!$AL:$AL),IF(_xlpm.v=0,"",_xlpm.v))</f>
        <v/>
      </c>
      <c r="Z282" s="104" t="str">
        <f>_xlfn.LET(_xlpm.v,IF(ISTEXT(Y282),_xlfn.XLOOKUP(Y282,'JP-PINT'!A:A,'JP-PINT'!B:B),""),IF(ISERROR(_xlpm.v),"",_xlpm.v))</f>
        <v/>
      </c>
      <c r="AA282" s="181" t="s">
        <v>24</v>
      </c>
    </row>
    <row r="283" spans="1:27" ht="12.75" customHeight="1">
      <c r="A283" s="4">
        <f>IF(ISTEXT(E283),_xlfn.XLOOKUP(E283,'[1]SME09-01_LHM'!$D:$D,'[1]SME09-01_LHM'!$B:$B))</f>
        <v>375</v>
      </c>
      <c r="B283" s="4">
        <f>_xlfn.XLOOKUP(F283,'[1]SME09-01_LHM'!$I:$I,'[1]SME09-01_LHM'!$B:$B)</f>
        <v>375</v>
      </c>
      <c r="C283" s="22">
        <f>ROW()-25</f>
        <v>258</v>
      </c>
      <c r="D283" s="16" t="s">
        <v>622</v>
      </c>
      <c r="E283" s="16" t="s">
        <v>1119</v>
      </c>
      <c r="F283" s="93" t="s">
        <v>2734</v>
      </c>
      <c r="G283" s="18" t="s">
        <v>1118</v>
      </c>
      <c r="H283" s="16" t="s">
        <v>28</v>
      </c>
      <c r="I283" s="39" t="s">
        <v>227</v>
      </c>
      <c r="J283" s="21" t="s">
        <v>505</v>
      </c>
      <c r="K283" s="21" t="s">
        <v>505</v>
      </c>
      <c r="L283" s="21" t="s">
        <v>505</v>
      </c>
      <c r="M283" s="19"/>
      <c r="N283" s="18"/>
      <c r="P283" s="105" t="s">
        <v>126</v>
      </c>
      <c r="Q283" s="105" t="s">
        <v>1117</v>
      </c>
      <c r="R283" s="105" t="s">
        <v>10</v>
      </c>
      <c r="S283" s="198" t="s">
        <v>596</v>
      </c>
      <c r="T283" s="71" t="s">
        <v>158</v>
      </c>
      <c r="U283" s="106" t="s">
        <v>367</v>
      </c>
      <c r="V283" s="105" t="s">
        <v>1116</v>
      </c>
      <c r="W283" s="7" t="s">
        <v>10</v>
      </c>
      <c r="X283" s="7" t="s">
        <v>10</v>
      </c>
      <c r="Y283" s="182" t="str">
        <f>_xlfn.LET(_xlpm.v,_xlfn.XLOOKUP(E283,'[1]SME09-01_LHM'!$D:$D,'[1]SME09-01_LHM'!$AL:$AL),IF(_xlpm.v=0,"",_xlpm.v))</f>
        <v/>
      </c>
      <c r="Z283" s="104" t="str">
        <f>_xlfn.LET(_xlpm.v,IF(ISTEXT(Y283),_xlfn.XLOOKUP(Y283,'JP-PINT'!A:A,'JP-PINT'!B:B),""),IF(ISERROR(_xlpm.v),"",_xlpm.v))</f>
        <v/>
      </c>
      <c r="AA283" s="22"/>
    </row>
    <row r="284" spans="1:27" ht="12.75" customHeight="1">
      <c r="A284" s="4">
        <f>IF(ISTEXT(E284),_xlfn.XLOOKUP(E284,'[1]SME09-01_LHM'!$D:$D,'[1]SME09-01_LHM'!$B:$B))</f>
        <v>376</v>
      </c>
      <c r="B284" s="4">
        <f>_xlfn.XLOOKUP(F284,'[1]SME09-01_LHM'!$I:$I,'[1]SME09-01_LHM'!$B:$B)</f>
        <v>376</v>
      </c>
      <c r="C284" s="37">
        <v>282</v>
      </c>
      <c r="D284" s="35" t="s">
        <v>736</v>
      </c>
      <c r="E284" s="35" t="s">
        <v>1115</v>
      </c>
      <c r="F284" s="37" t="s">
        <v>1114</v>
      </c>
      <c r="G284" s="37" t="s">
        <v>1113</v>
      </c>
      <c r="H284" s="35" t="s">
        <v>8</v>
      </c>
      <c r="I284" s="39" t="s">
        <v>227</v>
      </c>
      <c r="J284" s="38" t="s">
        <v>18</v>
      </c>
      <c r="K284" s="38" t="s">
        <v>18</v>
      </c>
      <c r="L284" s="38" t="s">
        <v>18</v>
      </c>
      <c r="M284" s="19"/>
      <c r="N284" s="37"/>
      <c r="P284" s="148" t="s">
        <v>126</v>
      </c>
      <c r="Q284" s="148" t="s">
        <v>397</v>
      </c>
      <c r="R284" s="148" t="s">
        <v>10</v>
      </c>
      <c r="S284" s="275" t="s">
        <v>64</v>
      </c>
      <c r="T284" s="276" t="s">
        <v>63</v>
      </c>
      <c r="U284" s="149" t="s">
        <v>367</v>
      </c>
      <c r="V284" s="148"/>
      <c r="W284" s="7" t="s">
        <v>10</v>
      </c>
      <c r="X284" s="7" t="s">
        <v>10</v>
      </c>
      <c r="Y284" s="182" t="str">
        <f>_xlfn.LET(_xlpm.v,_xlfn.XLOOKUP(E284,'[1]SME09-01_LHM'!$D:$D,'[1]SME09-01_LHM'!$AL:$AL),IF(_xlpm.v=0,"",_xlpm.v))</f>
        <v/>
      </c>
      <c r="Z284" s="104" t="str">
        <f>_xlfn.LET(_xlpm.v,IF(ISTEXT(Y284),_xlfn.XLOOKUP(Y284,'JP-PINT'!A:A,'JP-PINT'!B:B),""),IF(ISERROR(_xlpm.v),"",_xlpm.v))</f>
        <v/>
      </c>
      <c r="AA284" s="37"/>
    </row>
    <row r="285" spans="1:27" s="6" customFormat="1" ht="12.75" customHeight="1">
      <c r="A285" s="4">
        <f>IF(ISTEXT(E285),_xlfn.XLOOKUP(E285,'[1]SME09-01_LHM'!$D:$D,'[1]SME09-01_LHM'!$B:$B))</f>
        <v>377</v>
      </c>
      <c r="B285" s="4">
        <f>_xlfn.XLOOKUP(F285,'[1]SME09-01_LHM'!$I:$I,'[1]SME09-01_LHM'!$B:$B)</f>
        <v>377</v>
      </c>
      <c r="C285" s="37">
        <v>282</v>
      </c>
      <c r="D285" s="35" t="s">
        <v>736</v>
      </c>
      <c r="E285" s="35" t="s">
        <v>1112</v>
      </c>
      <c r="F285" s="37" t="s">
        <v>1111</v>
      </c>
      <c r="G285" s="37" t="s">
        <v>1110</v>
      </c>
      <c r="H285" s="35" t="s">
        <v>8</v>
      </c>
      <c r="I285" s="39" t="s">
        <v>227</v>
      </c>
      <c r="J285" s="35" t="s">
        <v>18</v>
      </c>
      <c r="K285" s="35" t="s">
        <v>18</v>
      </c>
      <c r="L285" s="35" t="s">
        <v>18</v>
      </c>
      <c r="M285" s="23"/>
      <c r="N285" s="37"/>
      <c r="O285" s="7"/>
      <c r="P285" s="148" t="s">
        <v>126</v>
      </c>
      <c r="Q285" s="148" t="s">
        <v>397</v>
      </c>
      <c r="R285" s="148" t="s">
        <v>10</v>
      </c>
      <c r="S285" s="275"/>
      <c r="T285" s="277"/>
      <c r="U285" s="153"/>
      <c r="V285" s="148"/>
      <c r="W285" s="7" t="s">
        <v>10</v>
      </c>
      <c r="X285" s="7" t="s">
        <v>10</v>
      </c>
      <c r="Y285" s="182" t="str">
        <f>_xlfn.LET(_xlpm.v,_xlfn.XLOOKUP(E285,'[1]SME09-01_LHM'!$D:$D,'[1]SME09-01_LHM'!$AL:$AL),IF(_xlpm.v=0,"",_xlpm.v))</f>
        <v/>
      </c>
      <c r="Z285" s="104" t="str">
        <f>_xlfn.LET(_xlpm.v,IF(ISTEXT(Y285),_xlfn.XLOOKUP(Y285,'JP-PINT'!A:A,'JP-PINT'!B:B),""),IF(ISERROR(_xlpm.v),"",_xlpm.v))</f>
        <v/>
      </c>
      <c r="AA285" s="37"/>
    </row>
    <row r="286" spans="1:27" ht="12.75" customHeight="1">
      <c r="A286" s="4">
        <f>IF(ISTEXT(E286),_xlfn.XLOOKUP(E286,'[1]SME09-01_LHM'!$D:$D,'[1]SME09-01_LHM'!$B:$B))</f>
        <v>378</v>
      </c>
      <c r="B286" s="4">
        <f>_xlfn.XLOOKUP(F286,'[1]SME09-01_LHM'!$I:$I,'[1]SME09-01_LHM'!$B:$B)</f>
        <v>378</v>
      </c>
      <c r="C286" s="22">
        <f>ROW()-25</f>
        <v>261</v>
      </c>
      <c r="D286" s="26" t="s">
        <v>622</v>
      </c>
      <c r="E286" s="26" t="s">
        <v>1109</v>
      </c>
      <c r="F286" s="93" t="s">
        <v>2735</v>
      </c>
      <c r="G286" s="25" t="s">
        <v>1108</v>
      </c>
      <c r="H286" s="26" t="s">
        <v>43</v>
      </c>
      <c r="I286" s="26" t="s">
        <v>143</v>
      </c>
      <c r="J286" s="199" t="s">
        <v>18</v>
      </c>
      <c r="K286" s="199" t="s">
        <v>18</v>
      </c>
      <c r="L286" s="199" t="s">
        <v>18</v>
      </c>
      <c r="M286" s="190"/>
      <c r="N286" s="181" t="s">
        <v>103</v>
      </c>
      <c r="P286" s="105" t="s">
        <v>126</v>
      </c>
      <c r="Q286" s="105" t="s">
        <v>1107</v>
      </c>
      <c r="R286" s="105" t="s">
        <v>25</v>
      </c>
      <c r="S286" s="104"/>
      <c r="T286" s="106" t="s">
        <v>103</v>
      </c>
      <c r="U286" s="106" t="s">
        <v>103</v>
      </c>
      <c r="V286" s="105" t="s">
        <v>103</v>
      </c>
      <c r="W286" s="3" t="s">
        <v>25</v>
      </c>
      <c r="X286" s="3" t="s">
        <v>25</v>
      </c>
      <c r="Y286" s="182" t="str">
        <f>_xlfn.LET(_xlpm.v,_xlfn.XLOOKUP(E286,'[1]SME09-01_LHM'!$D:$D,'[1]SME09-01_LHM'!$AL:$AL),IF(_xlpm.v=0,"",_xlpm.v))</f>
        <v/>
      </c>
      <c r="Z286" s="104" t="str">
        <f>_xlfn.LET(_xlpm.v,IF(ISTEXT(Y286),_xlfn.XLOOKUP(Y286,'JP-PINT'!A:A,'JP-PINT'!B:B),""),IF(ISERROR(_xlpm.v),"",_xlpm.v))</f>
        <v/>
      </c>
      <c r="AA286" s="181" t="s">
        <v>24</v>
      </c>
    </row>
    <row r="287" spans="1:27" s="45" customFormat="1" ht="12.75" customHeight="1">
      <c r="A287" s="4">
        <f>IF(ISTEXT(E287),_xlfn.XLOOKUP(E287,'[1]SME09-01_LHM'!$D:$D,'[1]SME09-01_LHM'!$B:$B))</f>
        <v>380</v>
      </c>
      <c r="B287" s="4">
        <f>_xlfn.XLOOKUP(F287,'[1]SME09-01_LHM'!$I:$I,'[1]SME09-01_LHM'!$B:$B)</f>
        <v>380</v>
      </c>
      <c r="C287" s="22">
        <f>ROW()-25</f>
        <v>262</v>
      </c>
      <c r="D287" s="16" t="s">
        <v>622</v>
      </c>
      <c r="E287" s="16" t="s">
        <v>1106</v>
      </c>
      <c r="F287" s="18" t="s">
        <v>1105</v>
      </c>
      <c r="G287" s="18" t="s">
        <v>1104</v>
      </c>
      <c r="H287" s="16" t="s">
        <v>8</v>
      </c>
      <c r="I287" s="16" t="s">
        <v>143</v>
      </c>
      <c r="J287" s="188" t="s">
        <v>18</v>
      </c>
      <c r="K287" s="188" t="s">
        <v>18</v>
      </c>
      <c r="L287" s="188" t="s">
        <v>18</v>
      </c>
      <c r="M287" s="186"/>
      <c r="N287" s="181" t="s">
        <v>103</v>
      </c>
      <c r="O287" s="7"/>
      <c r="P287" s="105" t="s">
        <v>126</v>
      </c>
      <c r="Q287" s="105" t="s">
        <v>583</v>
      </c>
      <c r="R287" s="105" t="s">
        <v>10</v>
      </c>
      <c r="S287" s="104"/>
      <c r="T287" s="106"/>
      <c r="U287" s="106" t="s">
        <v>103</v>
      </c>
      <c r="V287" s="105" t="s">
        <v>103</v>
      </c>
      <c r="W287" s="3" t="s">
        <v>10</v>
      </c>
      <c r="X287" s="3" t="s">
        <v>10</v>
      </c>
      <c r="Y287" s="182" t="str">
        <f>_xlfn.LET(_xlpm.v,_xlfn.XLOOKUP(E287,'[1]SME09-01_LHM'!$D:$D,'[1]SME09-01_LHM'!$AL:$AL),IF(_xlpm.v=0,"",_xlpm.v))</f>
        <v/>
      </c>
      <c r="Z287" s="104" t="str">
        <f>_xlfn.LET(_xlpm.v,IF(ISTEXT(Y287),_xlfn.XLOOKUP(Y287,'JP-PINT'!A:A,'JP-PINT'!B:B),""),IF(ISERROR(_xlpm.v),"",_xlpm.v))</f>
        <v/>
      </c>
      <c r="AA287" s="181" t="s">
        <v>24</v>
      </c>
    </row>
    <row r="288" spans="1:27" s="45" customFormat="1" ht="12.75" customHeight="1">
      <c r="A288" s="4">
        <f>IF(ISTEXT(E288),_xlfn.XLOOKUP(E288,'[1]SME09-01_LHM'!$D:$D,'[1]SME09-01_LHM'!$B:$B))</f>
        <v>381</v>
      </c>
      <c r="B288" s="4">
        <f>_xlfn.XLOOKUP(F288,'[1]SME09-01_LHM'!$I:$I,'[1]SME09-01_LHM'!$B:$B)</f>
        <v>381</v>
      </c>
      <c r="C288" s="22">
        <f>ROW()-25</f>
        <v>263</v>
      </c>
      <c r="D288" s="16" t="s">
        <v>622</v>
      </c>
      <c r="E288" s="16" t="s">
        <v>1103</v>
      </c>
      <c r="F288" s="18" t="s">
        <v>1102</v>
      </c>
      <c r="G288" s="18" t="s">
        <v>1101</v>
      </c>
      <c r="H288" s="16" t="s">
        <v>8</v>
      </c>
      <c r="I288" s="16" t="s">
        <v>143</v>
      </c>
      <c r="J288" s="188" t="s">
        <v>18</v>
      </c>
      <c r="K288" s="188" t="s">
        <v>18</v>
      </c>
      <c r="L288" s="188" t="s">
        <v>18</v>
      </c>
      <c r="M288" s="186"/>
      <c r="N288" s="181" t="s">
        <v>103</v>
      </c>
      <c r="O288" s="7"/>
      <c r="P288" s="105" t="s">
        <v>126</v>
      </c>
      <c r="Q288" s="105" t="s">
        <v>579</v>
      </c>
      <c r="R288" s="105" t="s">
        <v>10</v>
      </c>
      <c r="S288" s="104"/>
      <c r="T288" s="106"/>
      <c r="U288" s="106" t="s">
        <v>103</v>
      </c>
      <c r="V288" s="105" t="s">
        <v>103</v>
      </c>
      <c r="W288" s="3" t="s">
        <v>10</v>
      </c>
      <c r="X288" s="3" t="s">
        <v>10</v>
      </c>
      <c r="Y288" s="182" t="str">
        <f>_xlfn.LET(_xlpm.v,_xlfn.XLOOKUP(E288,'[1]SME09-01_LHM'!$D:$D,'[1]SME09-01_LHM'!$AL:$AL),IF(_xlpm.v=0,"",_xlpm.v))</f>
        <v/>
      </c>
      <c r="Z288" s="104" t="str">
        <f>_xlfn.LET(_xlpm.v,IF(ISTEXT(Y288),_xlfn.XLOOKUP(Y288,'JP-PINT'!A:A,'JP-PINT'!B:B),""),IF(ISERROR(_xlpm.v),"",_xlpm.v))</f>
        <v/>
      </c>
      <c r="AA288" s="16" t="s">
        <v>24</v>
      </c>
    </row>
    <row r="289" spans="1:27" s="6" customFormat="1" ht="12.75" customHeight="1">
      <c r="A289" s="4">
        <f>IF(ISTEXT(E289),_xlfn.XLOOKUP(E289,'[1]SME09-01_LHM'!$D:$D,'[1]SME09-01_LHM'!$B:$B))</f>
        <v>382</v>
      </c>
      <c r="B289" s="4">
        <f>_xlfn.XLOOKUP(F289,'[1]SME09-01_LHM'!$I:$I,'[1]SME09-01_LHM'!$B:$B)</f>
        <v>382</v>
      </c>
      <c r="C289" s="22">
        <f>ROW()-25</f>
        <v>264</v>
      </c>
      <c r="D289" s="16" t="s">
        <v>622</v>
      </c>
      <c r="E289" s="16" t="s">
        <v>1100</v>
      </c>
      <c r="F289" s="18" t="s">
        <v>1099</v>
      </c>
      <c r="G289" s="18" t="s">
        <v>1098</v>
      </c>
      <c r="H289" s="16" t="s">
        <v>8</v>
      </c>
      <c r="I289" s="16" t="s">
        <v>143</v>
      </c>
      <c r="J289" s="188" t="s">
        <v>574</v>
      </c>
      <c r="K289" s="188" t="s">
        <v>574</v>
      </c>
      <c r="L289" s="188" t="s">
        <v>574</v>
      </c>
      <c r="M289" s="186"/>
      <c r="N289" s="181" t="s">
        <v>103</v>
      </c>
      <c r="O289" s="7"/>
      <c r="P289" s="105" t="s">
        <v>126</v>
      </c>
      <c r="Q289" s="105" t="s">
        <v>573</v>
      </c>
      <c r="R289" s="105" t="s">
        <v>10</v>
      </c>
      <c r="S289" s="104"/>
      <c r="T289" s="106" t="s">
        <v>103</v>
      </c>
      <c r="U289" s="106" t="s">
        <v>103</v>
      </c>
      <c r="V289" s="105" t="s">
        <v>103</v>
      </c>
      <c r="W289" s="3" t="s">
        <v>10</v>
      </c>
      <c r="X289" s="3" t="s">
        <v>10</v>
      </c>
      <c r="Y289" s="182" t="str">
        <f>_xlfn.LET(_xlpm.v,_xlfn.XLOOKUP(E289,'[1]SME09-01_LHM'!$D:$D,'[1]SME09-01_LHM'!$AL:$AL),IF(_xlpm.v=0,"",_xlpm.v))</f>
        <v/>
      </c>
      <c r="Z289" s="104" t="str">
        <f>_xlfn.LET(_xlpm.v,IF(ISTEXT(Y289),_xlfn.XLOOKUP(Y289,'JP-PINT'!A:A,'JP-PINT'!B:B),""),IF(ISERROR(_xlpm.v),"",_xlpm.v))</f>
        <v/>
      </c>
      <c r="AA289" s="181" t="s">
        <v>24</v>
      </c>
    </row>
    <row r="290" spans="1:27" s="6" customFormat="1" ht="12.75" customHeight="1">
      <c r="A290" s="4">
        <f>IF(ISTEXT(E290),_xlfn.XLOOKUP(E290,'[1]SME09-01_LHM'!$D:$D,'[1]SME09-01_LHM'!$B:$B))</f>
        <v>383</v>
      </c>
      <c r="B290" s="4">
        <f>_xlfn.XLOOKUP(F290,'[1]SME09-01_LHM'!$I:$I,'[1]SME09-01_LHM'!$B:$B)</f>
        <v>383</v>
      </c>
      <c r="C290" s="22">
        <f>ROW()-25</f>
        <v>265</v>
      </c>
      <c r="D290" s="26" t="s">
        <v>622</v>
      </c>
      <c r="E290" s="26" t="s">
        <v>1097</v>
      </c>
      <c r="F290" s="93" t="s">
        <v>2736</v>
      </c>
      <c r="G290" s="25" t="s">
        <v>1096</v>
      </c>
      <c r="H290" s="26" t="s">
        <v>8</v>
      </c>
      <c r="I290" s="26" t="s">
        <v>143</v>
      </c>
      <c r="J290" s="201" t="s">
        <v>79</v>
      </c>
      <c r="K290" s="201" t="s">
        <v>79</v>
      </c>
      <c r="L290" s="201" t="s">
        <v>79</v>
      </c>
      <c r="M290" s="189"/>
      <c r="N290" s="181" t="s">
        <v>103</v>
      </c>
      <c r="O290" s="7"/>
      <c r="P290" s="105" t="s">
        <v>126</v>
      </c>
      <c r="Q290" s="102" t="s">
        <v>1095</v>
      </c>
      <c r="R290" s="105" t="s">
        <v>25</v>
      </c>
      <c r="S290" s="104"/>
      <c r="T290" s="106" t="s">
        <v>103</v>
      </c>
      <c r="U290" s="106" t="s">
        <v>103</v>
      </c>
      <c r="V290" s="105" t="s">
        <v>103</v>
      </c>
      <c r="W290" s="3" t="s">
        <v>25</v>
      </c>
      <c r="X290" s="3" t="s">
        <v>25</v>
      </c>
      <c r="Y290" s="182" t="str">
        <f>_xlfn.LET(_xlpm.v,_xlfn.XLOOKUP(E290,'[1]SME09-01_LHM'!$D:$D,'[1]SME09-01_LHM'!$AL:$AL),IF(_xlpm.v=0,"",_xlpm.v))</f>
        <v/>
      </c>
      <c r="Z290" s="104" t="str">
        <f>_xlfn.LET(_xlpm.v,IF(ISTEXT(Y290),_xlfn.XLOOKUP(Y290,'JP-PINT'!A:A,'JP-PINT'!B:B),""),IF(ISERROR(_xlpm.v),"",_xlpm.v))</f>
        <v/>
      </c>
      <c r="AA290" s="181" t="s">
        <v>24</v>
      </c>
    </row>
    <row r="291" spans="1:27" s="134" customFormat="1" ht="12.75" customHeight="1">
      <c r="A291" s="4">
        <f>IF(ISTEXT(E291),_xlfn.XLOOKUP(E291,'[1]SME09-01_LHM'!$D:$D,'[1]SME09-01_LHM'!$B:$B))</f>
        <v>385</v>
      </c>
      <c r="B291" s="4">
        <f>_xlfn.XLOOKUP(F291,'[1]SME09-01_LHM'!$I:$I,'[1]SME09-01_LHM'!$B:$B)</f>
        <v>385</v>
      </c>
      <c r="C291" s="102">
        <f>ROW()-25</f>
        <v>266</v>
      </c>
      <c r="D291" s="103" t="s">
        <v>622</v>
      </c>
      <c r="E291" s="103" t="s">
        <v>1094</v>
      </c>
      <c r="F291" s="105" t="s">
        <v>1093</v>
      </c>
      <c r="G291" s="105" t="s">
        <v>1092</v>
      </c>
      <c r="H291" s="103" t="s">
        <v>31</v>
      </c>
      <c r="I291" s="103" t="s">
        <v>143</v>
      </c>
      <c r="J291" s="222" t="s">
        <v>79</v>
      </c>
      <c r="K291" s="222" t="s">
        <v>79</v>
      </c>
      <c r="L291" s="222" t="s">
        <v>79</v>
      </c>
      <c r="M291" s="193"/>
      <c r="N291" s="223" t="s">
        <v>103</v>
      </c>
      <c r="O291" s="136"/>
      <c r="P291" s="105" t="s">
        <v>126</v>
      </c>
      <c r="Q291" s="105" t="s">
        <v>327</v>
      </c>
      <c r="R291" s="105" t="s">
        <v>10</v>
      </c>
      <c r="S291" s="104"/>
      <c r="T291" s="106" t="s">
        <v>103</v>
      </c>
      <c r="U291" s="106" t="s">
        <v>103</v>
      </c>
      <c r="V291" s="105" t="s">
        <v>103</v>
      </c>
      <c r="W291" s="107" t="s">
        <v>10</v>
      </c>
      <c r="X291" s="107" t="s">
        <v>10</v>
      </c>
      <c r="Y291" s="192" t="str">
        <f>_xlfn.LET(_xlpm.v,_xlfn.XLOOKUP(E291,'[1]SME09-01_LHM'!$D:$D,'[1]SME09-01_LHM'!$AL:$AL),IF(_xlpm.v=0,"",_xlpm.v))</f>
        <v/>
      </c>
      <c r="Z291" s="104" t="str">
        <f>_xlfn.LET(_xlpm.v,IF(ISTEXT(Y291),_xlfn.XLOOKUP(Y291,'JP-PINT'!A:A,'JP-PINT'!B:B),""),IF(ISERROR(_xlpm.v),"",_xlpm.v))</f>
        <v/>
      </c>
      <c r="AA291" s="223" t="s">
        <v>24</v>
      </c>
    </row>
    <row r="292" spans="1:27" s="6" customFormat="1" ht="12.75" customHeight="1">
      <c r="A292" s="4">
        <f>IF(ISTEXT(E292),_xlfn.XLOOKUP(E292,'[1]SME09-01_LHM'!$D:$D,'[1]SME09-01_LHM'!$B:$B))</f>
        <v>386</v>
      </c>
      <c r="B292" s="4">
        <f>_xlfn.XLOOKUP(F292,'[1]SME09-01_LHM'!$I:$I,'[1]SME09-01_LHM'!$B:$B)</f>
        <v>386</v>
      </c>
      <c r="C292" s="22">
        <f>ROW()-25</f>
        <v>267</v>
      </c>
      <c r="D292" s="16" t="s">
        <v>622</v>
      </c>
      <c r="E292" s="16" t="s">
        <v>1091</v>
      </c>
      <c r="F292" s="18" t="s">
        <v>1090</v>
      </c>
      <c r="G292" s="18" t="s">
        <v>1089</v>
      </c>
      <c r="H292" s="16" t="s">
        <v>8</v>
      </c>
      <c r="I292" s="16" t="s">
        <v>143</v>
      </c>
      <c r="J292" s="71" t="s">
        <v>66</v>
      </c>
      <c r="K292" s="71" t="s">
        <v>66</v>
      </c>
      <c r="L292" s="71" t="s">
        <v>66</v>
      </c>
      <c r="M292" s="68"/>
      <c r="N292" s="181" t="s">
        <v>103</v>
      </c>
      <c r="O292" s="7"/>
      <c r="P292" s="105" t="s">
        <v>126</v>
      </c>
      <c r="Q292" s="105" t="s">
        <v>322</v>
      </c>
      <c r="R292" s="105" t="s">
        <v>10</v>
      </c>
      <c r="S292" s="104"/>
      <c r="T292" s="106"/>
      <c r="U292" s="106"/>
      <c r="V292" s="105"/>
      <c r="W292" s="3" t="s">
        <v>10</v>
      </c>
      <c r="X292" s="3" t="s">
        <v>10</v>
      </c>
      <c r="Y292" s="182" t="str">
        <f>_xlfn.LET(_xlpm.v,_xlfn.XLOOKUP(E292,'[1]SME09-01_LHM'!$D:$D,'[1]SME09-01_LHM'!$AL:$AL),IF(_xlpm.v=0,"",_xlpm.v))</f>
        <v/>
      </c>
      <c r="Z292" s="104" t="str">
        <f>_xlfn.LET(_xlpm.v,IF(ISTEXT(Y292),_xlfn.XLOOKUP(Y292,'JP-PINT'!A:A,'JP-PINT'!B:B),""),IF(ISERROR(_xlpm.v),"",_xlpm.v))</f>
        <v/>
      </c>
      <c r="AA292" s="181" t="s">
        <v>24</v>
      </c>
    </row>
    <row r="293" spans="1:27" s="6" customFormat="1" ht="12.75" customHeight="1">
      <c r="A293" s="4">
        <f>IF(ISTEXT(E293),_xlfn.XLOOKUP(E293,'[1]SME09-01_LHM'!$D:$D,'[1]SME09-01_LHM'!$B:$B))</f>
        <v>387</v>
      </c>
      <c r="B293" s="4">
        <f>_xlfn.XLOOKUP(F293,'[1]SME09-01_LHM'!$I:$I,'[1]SME09-01_LHM'!$B:$B)</f>
        <v>387</v>
      </c>
      <c r="C293" s="22">
        <f>ROW()-25</f>
        <v>268</v>
      </c>
      <c r="D293" s="16" t="s">
        <v>622</v>
      </c>
      <c r="E293" s="16" t="s">
        <v>1088</v>
      </c>
      <c r="F293" s="18" t="s">
        <v>1087</v>
      </c>
      <c r="G293" s="18" t="s">
        <v>1086</v>
      </c>
      <c r="H293" s="16" t="s">
        <v>8</v>
      </c>
      <c r="I293" s="16" t="s">
        <v>143</v>
      </c>
      <c r="J293" s="75" t="s">
        <v>18</v>
      </c>
      <c r="K293" s="75" t="s">
        <v>18</v>
      </c>
      <c r="L293" s="75" t="s">
        <v>18</v>
      </c>
      <c r="M293" s="72"/>
      <c r="N293" s="181" t="s">
        <v>103</v>
      </c>
      <c r="O293" s="7"/>
      <c r="P293" s="105" t="s">
        <v>126</v>
      </c>
      <c r="Q293" s="105" t="s">
        <v>307</v>
      </c>
      <c r="R293" s="105" t="s">
        <v>10</v>
      </c>
      <c r="S293" s="198"/>
      <c r="T293" s="71" t="s">
        <v>24</v>
      </c>
      <c r="U293" s="71" t="s">
        <v>103</v>
      </c>
      <c r="V293" s="66" t="s">
        <v>103</v>
      </c>
      <c r="W293" s="3" t="s">
        <v>10</v>
      </c>
      <c r="X293" s="3" t="s">
        <v>10</v>
      </c>
      <c r="Y293" s="182" t="str">
        <f>_xlfn.LET(_xlpm.v,_xlfn.XLOOKUP(E293,'[1]SME09-01_LHM'!$D:$D,'[1]SME09-01_LHM'!$AL:$AL),IF(_xlpm.v=0,"",_xlpm.v))</f>
        <v/>
      </c>
      <c r="Z293" s="104" t="str">
        <f>_xlfn.LET(_xlpm.v,IF(ISTEXT(Y293),_xlfn.XLOOKUP(Y293,'JP-PINT'!A:A,'JP-PINT'!B:B),""),IF(ISERROR(_xlpm.v),"",_xlpm.v))</f>
        <v/>
      </c>
      <c r="AA293" s="181" t="s">
        <v>24</v>
      </c>
    </row>
    <row r="294" spans="1:27" s="6" customFormat="1" ht="12.75" customHeight="1">
      <c r="A294" s="4">
        <f>IF(ISTEXT(E294),_xlfn.XLOOKUP(E294,'[1]SME09-01_LHM'!$D:$D,'[1]SME09-01_LHM'!$B:$B))</f>
        <v>388</v>
      </c>
      <c r="B294" s="4">
        <f>_xlfn.XLOOKUP(F294,'[1]SME09-01_LHM'!$I:$I,'[1]SME09-01_LHM'!$B:$B)</f>
        <v>388</v>
      </c>
      <c r="C294" s="22">
        <f>ROW()-25</f>
        <v>269</v>
      </c>
      <c r="D294" s="16" t="s">
        <v>622</v>
      </c>
      <c r="E294" s="16" t="s">
        <v>1085</v>
      </c>
      <c r="F294" s="18" t="s">
        <v>1084</v>
      </c>
      <c r="G294" s="18" t="s">
        <v>1083</v>
      </c>
      <c r="H294" s="16" t="s">
        <v>8</v>
      </c>
      <c r="I294" s="16" t="s">
        <v>143</v>
      </c>
      <c r="J294" s="70" t="s">
        <v>66</v>
      </c>
      <c r="K294" s="70" t="s">
        <v>66</v>
      </c>
      <c r="L294" s="70" t="s">
        <v>66</v>
      </c>
      <c r="M294" s="278"/>
      <c r="N294" s="181" t="s">
        <v>103</v>
      </c>
      <c r="O294" s="7"/>
      <c r="P294" s="105" t="s">
        <v>126</v>
      </c>
      <c r="Q294" s="105" t="s">
        <v>303</v>
      </c>
      <c r="R294" s="105" t="s">
        <v>10</v>
      </c>
      <c r="S294" s="198" t="s">
        <v>302</v>
      </c>
      <c r="T294" s="70" t="s">
        <v>158</v>
      </c>
      <c r="U294" s="70" t="s">
        <v>367</v>
      </c>
      <c r="V294" s="66" t="s">
        <v>1082</v>
      </c>
      <c r="W294" s="3" t="s">
        <v>10</v>
      </c>
      <c r="X294" s="3" t="s">
        <v>10</v>
      </c>
      <c r="Y294" s="182" t="str">
        <f>_xlfn.LET(_xlpm.v,_xlfn.XLOOKUP(E294,'[1]SME09-01_LHM'!$D:$D,'[1]SME09-01_LHM'!$AL:$AL),IF(_xlpm.v=0,"",_xlpm.v))</f>
        <v/>
      </c>
      <c r="Z294" s="104" t="str">
        <f>_xlfn.LET(_xlpm.v,IF(ISTEXT(Y294),_xlfn.XLOOKUP(Y294,'JP-PINT'!A:A,'JP-PINT'!B:B),""),IF(ISERROR(_xlpm.v),"",_xlpm.v))</f>
        <v/>
      </c>
      <c r="AA294" s="181" t="s">
        <v>24</v>
      </c>
    </row>
    <row r="295" spans="1:27" s="6" customFormat="1" ht="12.75" customHeight="1">
      <c r="A295" s="4">
        <f>IF(ISTEXT(E295),_xlfn.XLOOKUP(E295,'[1]SME09-01_LHM'!$D:$D,'[1]SME09-01_LHM'!$B:$B))</f>
        <v>389</v>
      </c>
      <c r="B295" s="4">
        <f>_xlfn.XLOOKUP(F295,'[1]SME09-01_LHM'!$I:$I,'[1]SME09-01_LHM'!$B:$B)</f>
        <v>389</v>
      </c>
      <c r="C295" s="22">
        <f>ROW()-25</f>
        <v>270</v>
      </c>
      <c r="D295" s="16" t="s">
        <v>622</v>
      </c>
      <c r="E295" s="16" t="s">
        <v>1081</v>
      </c>
      <c r="F295" s="18" t="s">
        <v>1080</v>
      </c>
      <c r="G295" s="18" t="s">
        <v>1079</v>
      </c>
      <c r="H295" s="16" t="s">
        <v>8</v>
      </c>
      <c r="I295" s="16" t="s">
        <v>143</v>
      </c>
      <c r="J295" s="71" t="s">
        <v>66</v>
      </c>
      <c r="K295" s="71" t="s">
        <v>66</v>
      </c>
      <c r="L295" s="71" t="s">
        <v>66</v>
      </c>
      <c r="M295" s="68"/>
      <c r="N295" s="181" t="s">
        <v>103</v>
      </c>
      <c r="O295" s="7"/>
      <c r="P295" s="105" t="s">
        <v>126</v>
      </c>
      <c r="Q295" s="102" t="s">
        <v>298</v>
      </c>
      <c r="R295" s="105" t="s">
        <v>10</v>
      </c>
      <c r="S295" s="198" t="s">
        <v>64</v>
      </c>
      <c r="T295" s="71" t="s">
        <v>63</v>
      </c>
      <c r="U295" s="71" t="s">
        <v>367</v>
      </c>
      <c r="V295" s="66" t="s">
        <v>1078</v>
      </c>
      <c r="W295" s="3" t="s">
        <v>10</v>
      </c>
      <c r="X295" s="3" t="s">
        <v>10</v>
      </c>
      <c r="Y295" s="182" t="str">
        <f>_xlfn.LET(_xlpm.v,_xlfn.XLOOKUP(E295,'[1]SME09-01_LHM'!$D:$D,'[1]SME09-01_LHM'!$AL:$AL),IF(_xlpm.v=0,"",_xlpm.v))</f>
        <v/>
      </c>
      <c r="Z295" s="104" t="str">
        <f>_xlfn.LET(_xlpm.v,IF(ISTEXT(Y295),_xlfn.XLOOKUP(Y295,'JP-PINT'!A:A,'JP-PINT'!B:B),""),IF(ISERROR(_xlpm.v),"",_xlpm.v))</f>
        <v/>
      </c>
      <c r="AA295" s="181" t="s">
        <v>24</v>
      </c>
    </row>
    <row r="296" spans="1:27" s="6" customFormat="1" ht="12.75" customHeight="1">
      <c r="A296" s="4">
        <f>IF(ISTEXT(E296),_xlfn.XLOOKUP(E296,'[1]SME09-01_LHM'!$D:$D,'[1]SME09-01_LHM'!$B:$B))</f>
        <v>392</v>
      </c>
      <c r="B296" s="4">
        <f>_xlfn.XLOOKUP(F296,'[1]SME09-01_LHM'!$I:$I,'[1]SME09-01_LHM'!$B:$B)</f>
        <v>392</v>
      </c>
      <c r="C296" s="22">
        <f>ROW()-25</f>
        <v>271</v>
      </c>
      <c r="D296" s="26" t="s">
        <v>622</v>
      </c>
      <c r="E296" s="89" t="s">
        <v>1077</v>
      </c>
      <c r="F296" s="93" t="s">
        <v>2737</v>
      </c>
      <c r="G296" s="25" t="s">
        <v>1076</v>
      </c>
      <c r="H296" s="26" t="s">
        <v>8</v>
      </c>
      <c r="I296" s="26" t="s">
        <v>143</v>
      </c>
      <c r="J296" s="201" t="s">
        <v>66</v>
      </c>
      <c r="K296" s="201" t="s">
        <v>66</v>
      </c>
      <c r="L296" s="245"/>
      <c r="M296" s="189"/>
      <c r="N296" s="181" t="s">
        <v>27</v>
      </c>
      <c r="O296" s="7"/>
      <c r="P296" s="105" t="s">
        <v>126</v>
      </c>
      <c r="Q296" s="105" t="s">
        <v>1075</v>
      </c>
      <c r="R296" s="105" t="s">
        <v>25</v>
      </c>
      <c r="S296" s="104"/>
      <c r="T296" s="106" t="s">
        <v>103</v>
      </c>
      <c r="U296" s="106" t="s">
        <v>103</v>
      </c>
      <c r="V296" s="105" t="s">
        <v>103</v>
      </c>
      <c r="W296" s="3" t="s">
        <v>25</v>
      </c>
      <c r="X296" s="3"/>
      <c r="Y296" s="182" t="str">
        <f>_xlfn.LET(_xlpm.v,_xlfn.XLOOKUP(E296,'[1]SME09-01_LHM'!$D:$D,'[1]SME09-01_LHM'!$AL:$AL),IF(_xlpm.v=0,"",_xlpm.v))</f>
        <v/>
      </c>
      <c r="Z296" s="104" t="str">
        <f>_xlfn.LET(_xlpm.v,IF(ISTEXT(Y296),_xlfn.XLOOKUP(Y296,'JP-PINT'!A:A,'JP-PINT'!B:B),""),IF(ISERROR(_xlpm.v),"",_xlpm.v))</f>
        <v/>
      </c>
      <c r="AA296" s="181" t="s">
        <v>24</v>
      </c>
    </row>
    <row r="297" spans="1:27" s="6" customFormat="1" ht="12.75" customHeight="1">
      <c r="A297" s="4">
        <f>IF(ISTEXT(E297),_xlfn.XLOOKUP(E297,'[1]SME09-01_LHM'!$D:$D,'[1]SME09-01_LHM'!$B:$B))</f>
        <v>394</v>
      </c>
      <c r="B297" s="4">
        <f>_xlfn.XLOOKUP(F297,'[1]SME09-01_LHM'!$I:$I,'[1]SME09-01_LHM'!$B:$B)</f>
        <v>394</v>
      </c>
      <c r="C297" s="22">
        <f>ROW()-25</f>
        <v>272</v>
      </c>
      <c r="D297" s="16" t="s">
        <v>622</v>
      </c>
      <c r="E297" s="16" t="s">
        <v>569</v>
      </c>
      <c r="F297" s="18" t="s">
        <v>1074</v>
      </c>
      <c r="G297" s="18" t="s">
        <v>1073</v>
      </c>
      <c r="H297" s="16" t="s">
        <v>31</v>
      </c>
      <c r="I297" s="16" t="s">
        <v>143</v>
      </c>
      <c r="J297" s="188" t="s">
        <v>66</v>
      </c>
      <c r="K297" s="181" t="s">
        <v>66</v>
      </c>
      <c r="L297" s="242"/>
      <c r="M297" s="186"/>
      <c r="N297" s="181" t="s">
        <v>72</v>
      </c>
      <c r="O297" s="7"/>
      <c r="P297" s="105" t="s">
        <v>126</v>
      </c>
      <c r="Q297" s="105" t="s">
        <v>327</v>
      </c>
      <c r="R297" s="105" t="s">
        <v>10</v>
      </c>
      <c r="S297" s="104"/>
      <c r="T297" s="106" t="s">
        <v>103</v>
      </c>
      <c r="U297" s="106" t="s">
        <v>103</v>
      </c>
      <c r="V297" s="105" t="s">
        <v>103</v>
      </c>
      <c r="W297" s="3" t="s">
        <v>10</v>
      </c>
      <c r="X297" s="3"/>
      <c r="Y297" s="182" t="str">
        <f>_xlfn.LET(_xlpm.v,_xlfn.XLOOKUP(E297,'[1]SME09-01_LHM'!$D:$D,'[1]SME09-01_LHM'!$AL:$AL),IF(_xlpm.v=0,"",_xlpm.v))</f>
        <v>IBT-014</v>
      </c>
      <c r="Z297" s="104" t="str">
        <f>_xlfn.LET(_xlpm.v,IF(ISTEXT(Y297),_xlfn.XLOOKUP(Y297,'JP-PINT'!A:A,'JP-PINT'!B:B),""),IF(ISERROR(_xlpm.v),"",_xlpm.v))</f>
        <v>Sales order reference</v>
      </c>
      <c r="AA297" s="23" t="s">
        <v>8</v>
      </c>
    </row>
    <row r="298" spans="1:27" ht="12.75" customHeight="1">
      <c r="A298" s="4" t="e">
        <f>IF(ISTEXT(E298),_xlfn.XLOOKUP(E298,'[1]SME09-01_LHM'!$D:$D,'[1]SME09-01_LHM'!$B:$B))</f>
        <v>#N/A</v>
      </c>
      <c r="B298" s="4" t="e">
        <f>_xlfn.XLOOKUP(F298,'[1]SME09-01_LHM'!$I:$I,'[1]SME09-01_LHM'!$B:$B)</f>
        <v>#N/A</v>
      </c>
      <c r="C298" s="37">
        <f>ROW()-25</f>
        <v>273</v>
      </c>
      <c r="D298" s="35" t="s">
        <v>736</v>
      </c>
      <c r="E298" s="35" t="s">
        <v>1071</v>
      </c>
      <c r="F298" s="37" t="s">
        <v>1070</v>
      </c>
      <c r="G298" s="37" t="s">
        <v>1069</v>
      </c>
      <c r="H298" s="35" t="s">
        <v>8</v>
      </c>
      <c r="I298" s="39" t="s">
        <v>227</v>
      </c>
      <c r="J298" s="38" t="s">
        <v>505</v>
      </c>
      <c r="K298" s="35" t="s">
        <v>505</v>
      </c>
      <c r="L298" s="242"/>
      <c r="M298" s="19"/>
      <c r="N298" s="35" t="s">
        <v>27</v>
      </c>
      <c r="O298" s="206"/>
      <c r="P298" s="148" t="s">
        <v>941</v>
      </c>
      <c r="Q298" s="148" t="s">
        <v>523</v>
      </c>
      <c r="R298" s="148" t="s">
        <v>10</v>
      </c>
      <c r="S298" s="148"/>
      <c r="T298" s="149"/>
      <c r="U298" s="149"/>
      <c r="V298" s="130"/>
      <c r="W298" s="3" t="s">
        <v>10</v>
      </c>
      <c r="Y298" s="182"/>
      <c r="Z298" s="104" t="str">
        <f>_xlfn.LET(_xlpm.v,IF(ISTEXT(Y298),_xlfn.XLOOKUP(Y298,'JP-PINT'!A:A,'JP-PINT'!B:B),""),IF(ISERROR(_xlpm.v),"",_xlpm.v))</f>
        <v/>
      </c>
      <c r="AA298" s="35"/>
    </row>
    <row r="299" spans="1:27" s="45" customFormat="1" ht="12.75" customHeight="1">
      <c r="A299" s="4">
        <f>IF(ISTEXT(E299),_xlfn.XLOOKUP(E299,'[1]SME09-01_LHM'!$D:$D,'[1]SME09-01_LHM'!$B:$B))</f>
        <v>567</v>
      </c>
      <c r="B299" s="4" t="e">
        <f>_xlfn.XLOOKUP(F299,'[1]SME09-01_LHM'!$I:$I,'[1]SME09-01_LHM'!$B:$B)</f>
        <v>#N/A</v>
      </c>
      <c r="C299" s="37">
        <f>ROW()-25</f>
        <v>274</v>
      </c>
      <c r="D299" s="35" t="s">
        <v>736</v>
      </c>
      <c r="E299" s="35" t="s">
        <v>563</v>
      </c>
      <c r="F299" s="37" t="s">
        <v>1068</v>
      </c>
      <c r="G299" s="37" t="s">
        <v>1067</v>
      </c>
      <c r="H299" s="35" t="s">
        <v>8</v>
      </c>
      <c r="I299" s="39" t="s">
        <v>127</v>
      </c>
      <c r="J299" s="197" t="s">
        <v>18</v>
      </c>
      <c r="K299" s="197" t="s">
        <v>18</v>
      </c>
      <c r="L299" s="279"/>
      <c r="M299" s="186"/>
      <c r="N299" s="35" t="s">
        <v>27</v>
      </c>
      <c r="O299" s="280"/>
      <c r="P299" s="148" t="s">
        <v>937</v>
      </c>
      <c r="Q299" s="148" t="s">
        <v>322</v>
      </c>
      <c r="R299" s="148" t="s">
        <v>10</v>
      </c>
      <c r="S299" s="130"/>
      <c r="T299" s="153"/>
      <c r="U299" s="153" t="s">
        <v>24</v>
      </c>
      <c r="V299" s="148" t="s">
        <v>24</v>
      </c>
      <c r="W299" s="203" t="s">
        <v>10</v>
      </c>
      <c r="X299" s="203"/>
      <c r="Y299" s="182" t="str">
        <f>_xlfn.LET(_xlpm.v,_xlfn.XLOOKUP(E299,'[1]SME09-01_LHM'!$D:$D,'[1]SME09-01_LHM'!$AL:$AL),IF(_xlpm.v=0,"",_xlpm.v))</f>
        <v/>
      </c>
      <c r="Z299" s="104" t="str">
        <f>_xlfn.LET(_xlpm.v,IF(ISTEXT(Y299),_xlfn.XLOOKUP(Y299,'JP-PINT'!A:A,'JP-PINT'!B:B),""),IF(ISERROR(_xlpm.v),"",_xlpm.v))</f>
        <v/>
      </c>
      <c r="AA299" s="35" t="s">
        <v>24</v>
      </c>
    </row>
    <row r="300" spans="1:27" s="281" customFormat="1" ht="12.75" customHeight="1">
      <c r="A300" s="4">
        <f>IF(ISTEXT(E300),_xlfn.XLOOKUP(E300,'[1]SME09-01_LHM'!$D:$D,'[1]SME09-01_LHM'!$B:$B))</f>
        <v>397</v>
      </c>
      <c r="B300" s="4">
        <f>_xlfn.XLOOKUP(F300,'[1]SME09-01_LHM'!$I:$I,'[1]SME09-01_LHM'!$B:$B)</f>
        <v>397</v>
      </c>
      <c r="C300" s="22">
        <f>ROW()-25</f>
        <v>275</v>
      </c>
      <c r="D300" s="16" t="s">
        <v>622</v>
      </c>
      <c r="E300" s="16" t="s">
        <v>558</v>
      </c>
      <c r="F300" s="18" t="s">
        <v>1066</v>
      </c>
      <c r="G300" s="18" t="s">
        <v>1065</v>
      </c>
      <c r="H300" s="16" t="s">
        <v>8</v>
      </c>
      <c r="I300" s="70" t="s">
        <v>143</v>
      </c>
      <c r="J300" s="75" t="s">
        <v>18</v>
      </c>
      <c r="K300" s="74" t="s">
        <v>18</v>
      </c>
      <c r="L300" s="73"/>
      <c r="M300" s="72"/>
      <c r="N300" s="181" t="s">
        <v>27</v>
      </c>
      <c r="O300" s="7"/>
      <c r="P300" s="105" t="s">
        <v>126</v>
      </c>
      <c r="Q300" s="105" t="s">
        <v>307</v>
      </c>
      <c r="R300" s="105" t="s">
        <v>10</v>
      </c>
      <c r="S300" s="198"/>
      <c r="T300" s="70" t="s">
        <v>24</v>
      </c>
      <c r="U300" s="70" t="s">
        <v>103</v>
      </c>
      <c r="V300" s="66" t="s">
        <v>103</v>
      </c>
      <c r="W300" s="3" t="s">
        <v>10</v>
      </c>
      <c r="X300" s="3"/>
      <c r="Y300" s="182" t="str">
        <f>_xlfn.LET(_xlpm.v,_xlfn.XLOOKUP(E300,'[1]SME09-01_LHM'!$D:$D,'[1]SME09-01_LHM'!$AL:$AL),IF(_xlpm.v=0,"",_xlpm.v))</f>
        <v/>
      </c>
      <c r="Z300" s="104" t="str">
        <f>_xlfn.LET(_xlpm.v,IF(ISTEXT(Y300),_xlfn.XLOOKUP(Y300,'JP-PINT'!A:A,'JP-PINT'!B:B),""),IF(ISERROR(_xlpm.v),"",_xlpm.v))</f>
        <v/>
      </c>
      <c r="AA300" s="181" t="s">
        <v>24</v>
      </c>
    </row>
    <row r="301" spans="1:27" s="6" customFormat="1" ht="12.75" customHeight="1">
      <c r="A301" s="4">
        <f>IF(ISTEXT(E301),_xlfn.XLOOKUP(E301,'[1]SME09-01_LHM'!$D:$D,'[1]SME09-01_LHM'!$B:$B))</f>
        <v>398</v>
      </c>
      <c r="B301" s="4">
        <f>_xlfn.XLOOKUP(F301,'[1]SME09-01_LHM'!$I:$I,'[1]SME09-01_LHM'!$B:$B)</f>
        <v>398</v>
      </c>
      <c r="C301" s="22">
        <f>ROW()-25</f>
        <v>276</v>
      </c>
      <c r="D301" s="26" t="s">
        <v>622</v>
      </c>
      <c r="E301" s="89" t="s">
        <v>1064</v>
      </c>
      <c r="F301" s="93" t="s">
        <v>2738</v>
      </c>
      <c r="G301" s="25" t="s">
        <v>1063</v>
      </c>
      <c r="H301" s="26" t="s">
        <v>8</v>
      </c>
      <c r="I301" s="26" t="s">
        <v>143</v>
      </c>
      <c r="J301" s="201" t="s">
        <v>66</v>
      </c>
      <c r="K301" s="199" t="s">
        <v>66</v>
      </c>
      <c r="L301" s="245"/>
      <c r="M301" s="189"/>
      <c r="N301" s="181" t="s">
        <v>27</v>
      </c>
      <c r="O301" s="7"/>
      <c r="P301" s="105" t="s">
        <v>126</v>
      </c>
      <c r="Q301" s="105" t="s">
        <v>1062</v>
      </c>
      <c r="R301" s="105" t="s">
        <v>25</v>
      </c>
      <c r="S301" s="104"/>
      <c r="T301" s="103" t="s">
        <v>103</v>
      </c>
      <c r="U301" s="103" t="s">
        <v>398</v>
      </c>
      <c r="V301" s="105" t="s">
        <v>103</v>
      </c>
      <c r="W301" s="3" t="s">
        <v>25</v>
      </c>
      <c r="X301" s="3"/>
      <c r="Y301" s="182" t="str">
        <f>_xlfn.LET(_xlpm.v,_xlfn.XLOOKUP(E301,'[1]SME09-01_LHM'!$D:$D,'[1]SME09-01_LHM'!$AL:$AL),IF(_xlpm.v=0,"",_xlpm.v))</f>
        <v/>
      </c>
      <c r="Z301" s="104" t="str">
        <f>_xlfn.LET(_xlpm.v,IF(ISTEXT(Y301),_xlfn.XLOOKUP(Y301,'JP-PINT'!A:A,'JP-PINT'!B:B),""),IF(ISERROR(_xlpm.v),"",_xlpm.v))</f>
        <v/>
      </c>
      <c r="AA301" s="181" t="s">
        <v>24</v>
      </c>
    </row>
    <row r="302" spans="1:27" s="134" customFormat="1" ht="12.75" customHeight="1">
      <c r="A302" s="4">
        <f>IF(ISTEXT(E302),_xlfn.XLOOKUP(E302,'[1]SME09-01_LHM'!$D:$D,'[1]SME09-01_LHM'!$B:$B))</f>
        <v>400</v>
      </c>
      <c r="B302" s="4">
        <f>_xlfn.XLOOKUP(F302,'[1]SME09-01_LHM'!$I:$I,'[1]SME09-01_LHM'!$B:$B)</f>
        <v>400</v>
      </c>
      <c r="C302" s="102">
        <f>ROW()-25</f>
        <v>277</v>
      </c>
      <c r="D302" s="103" t="s">
        <v>622</v>
      </c>
      <c r="E302" s="103" t="s">
        <v>1061</v>
      </c>
      <c r="F302" s="105" t="s">
        <v>1060</v>
      </c>
      <c r="G302" s="105" t="s">
        <v>1059</v>
      </c>
      <c r="H302" s="103" t="s">
        <v>31</v>
      </c>
      <c r="I302" s="103" t="s">
        <v>143</v>
      </c>
      <c r="J302" s="222" t="s">
        <v>66</v>
      </c>
      <c r="K302" s="223" t="s">
        <v>66</v>
      </c>
      <c r="L302" s="224"/>
      <c r="M302" s="193"/>
      <c r="N302" s="223" t="s">
        <v>72</v>
      </c>
      <c r="O302" s="136"/>
      <c r="P302" s="105" t="s">
        <v>126</v>
      </c>
      <c r="Q302" s="105" t="s">
        <v>327</v>
      </c>
      <c r="R302" s="105" t="s">
        <v>10</v>
      </c>
      <c r="S302" s="104"/>
      <c r="T302" s="106" t="s">
        <v>103</v>
      </c>
      <c r="U302" s="106" t="s">
        <v>103</v>
      </c>
      <c r="V302" s="105" t="s">
        <v>103</v>
      </c>
      <c r="W302" s="107" t="s">
        <v>10</v>
      </c>
      <c r="X302" s="107"/>
      <c r="Y302" s="192" t="str">
        <f>_xlfn.LET(_xlpm.v,_xlfn.XLOOKUP(E302,'[1]SME09-01_LHM'!$D:$D,'[1]SME09-01_LHM'!$AL:$AL),IF(_xlpm.v=0,"",_xlpm.v))</f>
        <v>IBT-013</v>
      </c>
      <c r="Z302" s="104" t="str">
        <f>_xlfn.LET(_xlpm.v,IF(ISTEXT(Y302),_xlfn.XLOOKUP(Y302,'JP-PINT'!A:A,'JP-PINT'!B:B),""),IF(ISERROR(_xlpm.v),"",_xlpm.v))</f>
        <v>Purchase order reference</v>
      </c>
      <c r="AA302" s="103" t="s">
        <v>8</v>
      </c>
    </row>
    <row r="303" spans="1:27" s="6" customFormat="1" ht="12.75" customHeight="1">
      <c r="A303" s="4" t="e">
        <f>IF(ISTEXT(E303),_xlfn.XLOOKUP(E303,'[1]SME09-01_LHM'!$D:$D,'[1]SME09-01_LHM'!$B:$B))</f>
        <v>#N/A</v>
      </c>
      <c r="B303" s="4" t="e">
        <f>_xlfn.XLOOKUP(F303,'[1]SME09-01_LHM'!$I:$I,'[1]SME09-01_LHM'!$B:$B)</f>
        <v>#N/A</v>
      </c>
      <c r="C303" s="37">
        <f>ROW()-25</f>
        <v>278</v>
      </c>
      <c r="D303" s="35" t="s">
        <v>736</v>
      </c>
      <c r="E303" s="35" t="s">
        <v>1057</v>
      </c>
      <c r="F303" s="37" t="s">
        <v>1056</v>
      </c>
      <c r="G303" s="37" t="s">
        <v>1055</v>
      </c>
      <c r="H303" s="35" t="s">
        <v>8</v>
      </c>
      <c r="I303" s="39" t="s">
        <v>227</v>
      </c>
      <c r="J303" s="38" t="s">
        <v>505</v>
      </c>
      <c r="K303" s="35" t="s">
        <v>505</v>
      </c>
      <c r="L303" s="242"/>
      <c r="M303" s="19"/>
      <c r="N303" s="35" t="s">
        <v>27</v>
      </c>
      <c r="O303" s="206"/>
      <c r="P303" s="148" t="s">
        <v>941</v>
      </c>
      <c r="Q303" s="148" t="s">
        <v>523</v>
      </c>
      <c r="R303" s="148" t="s">
        <v>10</v>
      </c>
      <c r="S303" s="148"/>
      <c r="T303" s="149"/>
      <c r="U303" s="149"/>
      <c r="V303" s="130"/>
      <c r="W303" s="3" t="s">
        <v>10</v>
      </c>
      <c r="X303" s="3"/>
      <c r="Y303" s="182"/>
      <c r="Z303" s="104" t="str">
        <f>_xlfn.LET(_xlpm.v,IF(ISTEXT(Y303),_xlfn.XLOOKUP(Y303,'JP-PINT'!A:A,'JP-PINT'!B:B),""),IF(ISERROR(_xlpm.v),"",_xlpm.v))</f>
        <v/>
      </c>
      <c r="AA303" s="35"/>
    </row>
    <row r="304" spans="1:27" s="45" customFormat="1" ht="12.75" customHeight="1">
      <c r="A304" s="4">
        <f>IF(ISTEXT(E304),_xlfn.XLOOKUP(E304,'[1]SME09-01_LHM'!$D:$D,'[1]SME09-01_LHM'!$B:$B))</f>
        <v>574</v>
      </c>
      <c r="B304" s="4" t="e">
        <f>_xlfn.XLOOKUP(F304,'[1]SME09-01_LHM'!$I:$I,'[1]SME09-01_LHM'!$B:$B)</f>
        <v>#N/A</v>
      </c>
      <c r="C304" s="37">
        <f>ROW()-25</f>
        <v>279</v>
      </c>
      <c r="D304" s="35" t="s">
        <v>736</v>
      </c>
      <c r="E304" s="35" t="s">
        <v>1054</v>
      </c>
      <c r="F304" s="37" t="s">
        <v>1053</v>
      </c>
      <c r="G304" s="37" t="s">
        <v>1052</v>
      </c>
      <c r="H304" s="35" t="s">
        <v>8</v>
      </c>
      <c r="I304" s="39" t="s">
        <v>127</v>
      </c>
      <c r="J304" s="197" t="s">
        <v>18</v>
      </c>
      <c r="K304" s="197" t="s">
        <v>18</v>
      </c>
      <c r="L304" s="279"/>
      <c r="M304" s="186"/>
      <c r="N304" s="35" t="s">
        <v>27</v>
      </c>
      <c r="O304" s="280"/>
      <c r="P304" s="148" t="s">
        <v>937</v>
      </c>
      <c r="Q304" s="148" t="s">
        <v>322</v>
      </c>
      <c r="R304" s="148" t="s">
        <v>10</v>
      </c>
      <c r="S304" s="130"/>
      <c r="T304" s="153"/>
      <c r="U304" s="153" t="s">
        <v>24</v>
      </c>
      <c r="V304" s="148" t="s">
        <v>24</v>
      </c>
      <c r="W304" s="203" t="s">
        <v>10</v>
      </c>
      <c r="X304" s="203"/>
      <c r="Y304" s="182" t="str">
        <f>_xlfn.LET(_xlpm.v,_xlfn.XLOOKUP(E304,'[1]SME09-01_LHM'!$D:$D,'[1]SME09-01_LHM'!$AL:$AL),IF(_xlpm.v=0,"",_xlpm.v))</f>
        <v/>
      </c>
      <c r="Z304" s="104" t="str">
        <f>_xlfn.LET(_xlpm.v,IF(ISTEXT(Y304),_xlfn.XLOOKUP(Y304,'JP-PINT'!A:A,'JP-PINT'!B:B),""),IF(ISERROR(_xlpm.v),"",_xlpm.v))</f>
        <v/>
      </c>
      <c r="AA304" s="35" t="s">
        <v>24</v>
      </c>
    </row>
    <row r="305" spans="1:27" s="281" customFormat="1" ht="12.75" customHeight="1">
      <c r="A305" s="4">
        <f>IF(ISTEXT(E305),_xlfn.XLOOKUP(E305,'[1]SME09-01_LHM'!$D:$D,'[1]SME09-01_LHM'!$B:$B))</f>
        <v>403</v>
      </c>
      <c r="B305" s="4">
        <f>_xlfn.XLOOKUP(F305,'[1]SME09-01_LHM'!$I:$I,'[1]SME09-01_LHM'!$B:$B)</f>
        <v>403</v>
      </c>
      <c r="C305" s="22">
        <f>ROW()-25</f>
        <v>280</v>
      </c>
      <c r="D305" s="16" t="s">
        <v>622</v>
      </c>
      <c r="E305" s="16" t="s">
        <v>1051</v>
      </c>
      <c r="F305" s="18" t="s">
        <v>1050</v>
      </c>
      <c r="G305" s="18" t="s">
        <v>1049</v>
      </c>
      <c r="H305" s="16" t="s">
        <v>8</v>
      </c>
      <c r="I305" s="70" t="s">
        <v>143</v>
      </c>
      <c r="J305" s="75" t="s">
        <v>18</v>
      </c>
      <c r="K305" s="74" t="s">
        <v>18</v>
      </c>
      <c r="L305" s="73"/>
      <c r="M305" s="72"/>
      <c r="N305" s="181" t="s">
        <v>27</v>
      </c>
      <c r="O305" s="7"/>
      <c r="P305" s="105" t="s">
        <v>126</v>
      </c>
      <c r="Q305" s="105" t="s">
        <v>307</v>
      </c>
      <c r="R305" s="105" t="s">
        <v>10</v>
      </c>
      <c r="S305" s="198"/>
      <c r="T305" s="70" t="s">
        <v>24</v>
      </c>
      <c r="U305" s="70" t="s">
        <v>103</v>
      </c>
      <c r="V305" s="66" t="s">
        <v>103</v>
      </c>
      <c r="W305" s="3" t="s">
        <v>10</v>
      </c>
      <c r="X305" s="3"/>
      <c r="Y305" s="182" t="str">
        <f>_xlfn.LET(_xlpm.v,_xlfn.XLOOKUP(E305,'[1]SME09-01_LHM'!$D:$D,'[1]SME09-01_LHM'!$AL:$AL),IF(_xlpm.v=0,"",_xlpm.v))</f>
        <v/>
      </c>
      <c r="Z305" s="104" t="str">
        <f>_xlfn.LET(_xlpm.v,IF(ISTEXT(Y305),_xlfn.XLOOKUP(Y305,'JP-PINT'!A:A,'JP-PINT'!B:B),""),IF(ISERROR(_xlpm.v),"",_xlpm.v))</f>
        <v/>
      </c>
      <c r="AA305" s="181" t="s">
        <v>24</v>
      </c>
    </row>
    <row r="306" spans="1:27" s="6" customFormat="1" ht="12.75" customHeight="1">
      <c r="A306" s="4">
        <f>IF(ISTEXT(E306),_xlfn.XLOOKUP(E306,'[1]SME09-01_LHM'!$D:$D,'[1]SME09-01_LHM'!$B:$B))</f>
        <v>404</v>
      </c>
      <c r="B306" s="4">
        <f>_xlfn.XLOOKUP(F306,'[1]SME09-01_LHM'!$I:$I,'[1]SME09-01_LHM'!$B:$B)</f>
        <v>404</v>
      </c>
      <c r="C306" s="22">
        <f>ROW()-25</f>
        <v>281</v>
      </c>
      <c r="D306" s="26" t="s">
        <v>622</v>
      </c>
      <c r="E306" s="26" t="s">
        <v>1048</v>
      </c>
      <c r="F306" s="93" t="s">
        <v>2739</v>
      </c>
      <c r="G306" s="25" t="s">
        <v>1047</v>
      </c>
      <c r="H306" s="26" t="s">
        <v>8</v>
      </c>
      <c r="I306" s="26" t="s">
        <v>143</v>
      </c>
      <c r="J306" s="201" t="s">
        <v>66</v>
      </c>
      <c r="K306" s="199" t="s">
        <v>66</v>
      </c>
      <c r="L306" s="245"/>
      <c r="M306" s="189"/>
      <c r="N306" s="181" t="s">
        <v>27</v>
      </c>
      <c r="O306" s="7"/>
      <c r="P306" s="105" t="s">
        <v>126</v>
      </c>
      <c r="Q306" s="105" t="s">
        <v>1046</v>
      </c>
      <c r="R306" s="105" t="s">
        <v>25</v>
      </c>
      <c r="S306" s="104"/>
      <c r="T306" s="103" t="s">
        <v>103</v>
      </c>
      <c r="U306" s="103" t="s">
        <v>103</v>
      </c>
      <c r="V306" s="105" t="s">
        <v>103</v>
      </c>
      <c r="W306" s="3" t="s">
        <v>25</v>
      </c>
      <c r="X306" s="3"/>
      <c r="Y306" s="182" t="str">
        <f>_xlfn.LET(_xlpm.v,_xlfn.XLOOKUP(E306,'[1]SME09-01_LHM'!$D:$D,'[1]SME09-01_LHM'!$AL:$AL),IF(_xlpm.v=0,"",_xlpm.v))</f>
        <v/>
      </c>
      <c r="Z306" s="104" t="str">
        <f>_xlfn.LET(_xlpm.v,IF(ISTEXT(Y306),_xlfn.XLOOKUP(Y306,'JP-PINT'!A:A,'JP-PINT'!B:B),""),IF(ISERROR(_xlpm.v),"",_xlpm.v))</f>
        <v/>
      </c>
      <c r="AA306" s="181" t="s">
        <v>24</v>
      </c>
    </row>
    <row r="307" spans="1:27" s="134" customFormat="1" ht="12.75" customHeight="1">
      <c r="A307" s="4">
        <f>IF(ISTEXT(E307),_xlfn.XLOOKUP(E307,'[1]SME09-01_LHM'!$D:$D,'[1]SME09-01_LHM'!$B:$B))</f>
        <v>406</v>
      </c>
      <c r="B307" s="4">
        <f>_xlfn.XLOOKUP(F307,'[1]SME09-01_LHM'!$I:$I,'[1]SME09-01_LHM'!$B:$B)</f>
        <v>406</v>
      </c>
      <c r="C307" s="102">
        <f>ROW()-25</f>
        <v>282</v>
      </c>
      <c r="D307" s="103" t="s">
        <v>622</v>
      </c>
      <c r="E307" s="103" t="s">
        <v>1045</v>
      </c>
      <c r="F307" s="105" t="s">
        <v>1044</v>
      </c>
      <c r="G307" s="105" t="s">
        <v>1043</v>
      </c>
      <c r="H307" s="103" t="s">
        <v>31</v>
      </c>
      <c r="I307" s="103" t="s">
        <v>143</v>
      </c>
      <c r="J307" s="222" t="s">
        <v>66</v>
      </c>
      <c r="K307" s="223" t="s">
        <v>66</v>
      </c>
      <c r="L307" s="224"/>
      <c r="M307" s="193"/>
      <c r="N307" s="223" t="s">
        <v>72</v>
      </c>
      <c r="O307" s="136"/>
      <c r="P307" s="105" t="s">
        <v>126</v>
      </c>
      <c r="Q307" s="105" t="s">
        <v>327</v>
      </c>
      <c r="R307" s="105" t="s">
        <v>10</v>
      </c>
      <c r="S307" s="104"/>
      <c r="T307" s="106" t="s">
        <v>103</v>
      </c>
      <c r="U307" s="106" t="s">
        <v>24</v>
      </c>
      <c r="V307" s="105" t="s">
        <v>24</v>
      </c>
      <c r="W307" s="107" t="s">
        <v>10</v>
      </c>
      <c r="X307" s="107"/>
      <c r="Y307" s="192" t="str">
        <f>_xlfn.LET(_xlpm.v,_xlfn.XLOOKUP(E307,'[1]SME09-01_LHM'!$D:$D,'[1]SME09-01_LHM'!$AL:$AL),IF(_xlpm.v=0,"",_xlpm.v))</f>
        <v>IBT-012</v>
      </c>
      <c r="Z307" s="104" t="str">
        <f>_xlfn.LET(_xlpm.v,IF(ISTEXT(Y307),_xlfn.XLOOKUP(Y307,'JP-PINT'!A:A,'JP-PINT'!B:B),""),IF(ISERROR(_xlpm.v),"",_xlpm.v))</f>
        <v>Contract reference</v>
      </c>
      <c r="AA307" s="103" t="s">
        <v>8</v>
      </c>
    </row>
    <row r="308" spans="1:27" s="6" customFormat="1" ht="12.75" customHeight="1">
      <c r="A308" s="4" t="e">
        <f>IF(ISTEXT(E308),_xlfn.XLOOKUP(E308,'[1]SME09-01_LHM'!$D:$D,'[1]SME09-01_LHM'!$B:$B))</f>
        <v>#N/A</v>
      </c>
      <c r="B308" s="4" t="e">
        <f>_xlfn.XLOOKUP(F308,'[1]SME09-01_LHM'!$I:$I,'[1]SME09-01_LHM'!$B:$B)</f>
        <v>#N/A</v>
      </c>
      <c r="C308" s="37">
        <f>ROW()-25</f>
        <v>283</v>
      </c>
      <c r="D308" s="35" t="s">
        <v>736</v>
      </c>
      <c r="E308" s="35" t="s">
        <v>1041</v>
      </c>
      <c r="F308" s="37" t="s">
        <v>1040</v>
      </c>
      <c r="G308" s="37" t="s">
        <v>1039</v>
      </c>
      <c r="H308" s="35" t="s">
        <v>8</v>
      </c>
      <c r="I308" s="39" t="s">
        <v>227</v>
      </c>
      <c r="J308" s="38" t="s">
        <v>505</v>
      </c>
      <c r="K308" s="35" t="s">
        <v>505</v>
      </c>
      <c r="L308" s="242"/>
      <c r="M308" s="19"/>
      <c r="N308" s="35" t="s">
        <v>27</v>
      </c>
      <c r="O308" s="206"/>
      <c r="P308" s="148" t="s">
        <v>941</v>
      </c>
      <c r="Q308" s="148" t="s">
        <v>523</v>
      </c>
      <c r="R308" s="148" t="s">
        <v>10</v>
      </c>
      <c r="S308" s="148"/>
      <c r="T308" s="149"/>
      <c r="U308" s="149"/>
      <c r="V308" s="130"/>
      <c r="W308" s="3" t="s">
        <v>10</v>
      </c>
      <c r="X308" s="3"/>
      <c r="Y308" s="182"/>
      <c r="Z308" s="104" t="str">
        <f>_xlfn.LET(_xlpm.v,IF(ISTEXT(Y308),_xlfn.XLOOKUP(Y308,'JP-PINT'!A:A,'JP-PINT'!B:B),""),IF(ISERROR(_xlpm.v),"",_xlpm.v))</f>
        <v/>
      </c>
      <c r="AA308" s="35"/>
    </row>
    <row r="309" spans="1:27" s="45" customFormat="1" ht="12.75" customHeight="1">
      <c r="A309" s="4" t="e">
        <f>IF(ISTEXT(E309),_xlfn.XLOOKUP(E309,'[1]SME09-01_LHM'!$D:$D,'[1]SME09-01_LHM'!$B:$B))</f>
        <v>#N/A</v>
      </c>
      <c r="B309" s="4" t="e">
        <f>_xlfn.XLOOKUP(F309,'[1]SME09-01_LHM'!$I:$I,'[1]SME09-01_LHM'!$B:$B)</f>
        <v>#N/A</v>
      </c>
      <c r="C309" s="37">
        <f>ROW()-25</f>
        <v>284</v>
      </c>
      <c r="D309" s="35" t="s">
        <v>736</v>
      </c>
      <c r="E309" s="35" t="s">
        <v>1038</v>
      </c>
      <c r="F309" s="37" t="s">
        <v>1037</v>
      </c>
      <c r="G309" s="37" t="s">
        <v>1036</v>
      </c>
      <c r="H309" s="35" t="s">
        <v>8</v>
      </c>
      <c r="I309" s="39" t="s">
        <v>127</v>
      </c>
      <c r="J309" s="197" t="s">
        <v>18</v>
      </c>
      <c r="K309" s="197" t="s">
        <v>18</v>
      </c>
      <c r="L309" s="279"/>
      <c r="M309" s="186"/>
      <c r="N309" s="35" t="s">
        <v>27</v>
      </c>
      <c r="O309" s="280"/>
      <c r="P309" s="148" t="s">
        <v>937</v>
      </c>
      <c r="Q309" s="148" t="s">
        <v>322</v>
      </c>
      <c r="R309" s="148" t="s">
        <v>10</v>
      </c>
      <c r="S309" s="130"/>
      <c r="T309" s="153"/>
      <c r="U309" s="153" t="s">
        <v>24</v>
      </c>
      <c r="V309" s="148" t="s">
        <v>24</v>
      </c>
      <c r="W309" s="203" t="s">
        <v>10</v>
      </c>
      <c r="X309" s="203"/>
      <c r="Y309" s="182"/>
      <c r="Z309" s="104" t="str">
        <f>_xlfn.LET(_xlpm.v,IF(ISTEXT(Y309),_xlfn.XLOOKUP(Y309,'JP-PINT'!A:A,'JP-PINT'!B:B),""),IF(ISERROR(_xlpm.v),"",_xlpm.v))</f>
        <v/>
      </c>
      <c r="AA309" s="35" t="s">
        <v>24</v>
      </c>
    </row>
    <row r="310" spans="1:27" s="281" customFormat="1" ht="12.75" customHeight="1">
      <c r="A310" s="4">
        <f>IF(ISTEXT(E310),_xlfn.XLOOKUP(E310,'[1]SME09-01_LHM'!$D:$D,'[1]SME09-01_LHM'!$B:$B))</f>
        <v>409</v>
      </c>
      <c r="B310" s="4">
        <f>_xlfn.XLOOKUP(F310,'[1]SME09-01_LHM'!$I:$I,'[1]SME09-01_LHM'!$B:$B)</f>
        <v>409</v>
      </c>
      <c r="C310" s="22">
        <f>ROW()-25</f>
        <v>285</v>
      </c>
      <c r="D310" s="16" t="s">
        <v>622</v>
      </c>
      <c r="E310" s="16" t="s">
        <v>1035</v>
      </c>
      <c r="F310" s="18" t="s">
        <v>1034</v>
      </c>
      <c r="G310" s="18" t="s">
        <v>1033</v>
      </c>
      <c r="H310" s="16" t="s">
        <v>8</v>
      </c>
      <c r="I310" s="70" t="s">
        <v>143</v>
      </c>
      <c r="J310" s="188" t="s">
        <v>18</v>
      </c>
      <c r="K310" s="181" t="s">
        <v>18</v>
      </c>
      <c r="L310" s="242"/>
      <c r="M310" s="186"/>
      <c r="N310" s="18" t="s">
        <v>398</v>
      </c>
      <c r="O310" s="7"/>
      <c r="P310" s="105" t="s">
        <v>126</v>
      </c>
      <c r="Q310" s="105" t="s">
        <v>307</v>
      </c>
      <c r="R310" s="105" t="s">
        <v>10</v>
      </c>
      <c r="S310" s="198"/>
      <c r="T310" s="70" t="s">
        <v>24</v>
      </c>
      <c r="U310" s="70" t="s">
        <v>24</v>
      </c>
      <c r="V310" s="66" t="s">
        <v>24</v>
      </c>
      <c r="W310" s="3" t="s">
        <v>10</v>
      </c>
      <c r="X310" s="3"/>
      <c r="Y310" s="182" t="str">
        <f>_xlfn.LET(_xlpm.v,_xlfn.XLOOKUP(E310,'[1]SME09-01_LHM'!$D:$D,'[1]SME09-01_LHM'!$AL:$AL),IF(_xlpm.v=0,"",_xlpm.v))</f>
        <v/>
      </c>
      <c r="Z310" s="104" t="str">
        <f>_xlfn.LET(_xlpm.v,IF(ISTEXT(Y310),_xlfn.XLOOKUP(Y310,'JP-PINT'!A:A,'JP-PINT'!B:B),""),IF(ISERROR(_xlpm.v),"",_xlpm.v))</f>
        <v/>
      </c>
      <c r="AA310" s="16" t="s">
        <v>103</v>
      </c>
    </row>
    <row r="311" spans="1:27" s="6" customFormat="1" ht="12.75" customHeight="1">
      <c r="A311" s="4">
        <f>IF(ISTEXT(E311),_xlfn.XLOOKUP(E311,'[1]SME09-01_LHM'!$D:$D,'[1]SME09-01_LHM'!$B:$B))</f>
        <v>412</v>
      </c>
      <c r="B311" s="4">
        <f>_xlfn.XLOOKUP(F311,'[1]SME09-01_LHM'!$I:$I,'[1]SME09-01_LHM'!$B:$B)</f>
        <v>412</v>
      </c>
      <c r="C311" s="22">
        <f>ROW()-25</f>
        <v>286</v>
      </c>
      <c r="D311" s="26" t="s">
        <v>622</v>
      </c>
      <c r="E311" s="208" t="s">
        <v>1032</v>
      </c>
      <c r="F311" s="93" t="s">
        <v>2740</v>
      </c>
      <c r="G311" s="25" t="s">
        <v>1031</v>
      </c>
      <c r="H311" s="26" t="s">
        <v>8</v>
      </c>
      <c r="I311" s="26" t="s">
        <v>74</v>
      </c>
      <c r="J311" s="201" t="s">
        <v>18</v>
      </c>
      <c r="K311" s="199" t="s">
        <v>18</v>
      </c>
      <c r="L311" s="245"/>
      <c r="M311" s="189"/>
      <c r="N311" s="181" t="s">
        <v>27</v>
      </c>
      <c r="O311" s="7"/>
      <c r="P311" s="105" t="s">
        <v>126</v>
      </c>
      <c r="Q311" s="105" t="s">
        <v>1030</v>
      </c>
      <c r="R311" s="105" t="s">
        <v>25</v>
      </c>
      <c r="S311" s="104"/>
      <c r="T311" s="103" t="s">
        <v>103</v>
      </c>
      <c r="U311" s="103" t="s">
        <v>24</v>
      </c>
      <c r="V311" s="105" t="s">
        <v>24</v>
      </c>
      <c r="W311" s="3" t="s">
        <v>25</v>
      </c>
      <c r="X311" s="3"/>
      <c r="Y311" s="182" t="str">
        <f>_xlfn.LET(_xlpm.v,_xlfn.XLOOKUP(E311,'[1]SME09-01_LHM'!$D:$D,'[1]SME09-01_LHM'!$AL:$AL),IF(_xlpm.v=0,"",_xlpm.v))</f>
        <v/>
      </c>
      <c r="Z311" s="104" t="str">
        <f>_xlfn.LET(_xlpm.v,IF(ISTEXT(Y311),_xlfn.XLOOKUP(Y311,'JP-PINT'!A:A,'JP-PINT'!B:B),""),IF(ISERROR(_xlpm.v),"",_xlpm.v))</f>
        <v/>
      </c>
      <c r="AA311" s="181" t="s">
        <v>24</v>
      </c>
    </row>
    <row r="312" spans="1:27" s="6" customFormat="1" ht="12.75" customHeight="1">
      <c r="A312" s="4">
        <f>IF(ISTEXT(E312),_xlfn.XLOOKUP(E312,'[1]SME09-01_LHM'!$D:$D,'[1]SME09-01_LHM'!$B:$B))</f>
        <v>414</v>
      </c>
      <c r="B312" s="4">
        <f>_xlfn.XLOOKUP(F312,'[1]SME09-01_LHM'!$I:$I,'[1]SME09-01_LHM'!$B:$B)</f>
        <v>414</v>
      </c>
      <c r="C312" s="22">
        <f>ROW()-25</f>
        <v>287</v>
      </c>
      <c r="D312" s="16" t="s">
        <v>622</v>
      </c>
      <c r="E312" s="16" t="s">
        <v>1029</v>
      </c>
      <c r="F312" s="18" t="s">
        <v>1028</v>
      </c>
      <c r="G312" s="18" t="s">
        <v>1027</v>
      </c>
      <c r="H312" s="16" t="s">
        <v>8</v>
      </c>
      <c r="I312" s="16" t="s">
        <v>74</v>
      </c>
      <c r="J312" s="188" t="s">
        <v>18</v>
      </c>
      <c r="K312" s="181" t="s">
        <v>18</v>
      </c>
      <c r="L312" s="242"/>
      <c r="M312" s="186"/>
      <c r="N312" s="181" t="s">
        <v>27</v>
      </c>
      <c r="O312" s="7"/>
      <c r="P312" s="105" t="s">
        <v>126</v>
      </c>
      <c r="Q312" s="105" t="s">
        <v>1026</v>
      </c>
      <c r="R312" s="105" t="s">
        <v>10</v>
      </c>
      <c r="S312" s="104"/>
      <c r="T312" s="106" t="s">
        <v>103</v>
      </c>
      <c r="U312" s="106" t="s">
        <v>24</v>
      </c>
      <c r="V312" s="105" t="s">
        <v>24</v>
      </c>
      <c r="W312" s="3" t="s">
        <v>10</v>
      </c>
      <c r="X312" s="3"/>
      <c r="Y312" s="182" t="str">
        <f>_xlfn.LET(_xlpm.v,_xlfn.XLOOKUP(E312,'[1]SME09-01_LHM'!$D:$D,'[1]SME09-01_LHM'!$AL:$AL),IF(_xlpm.v=0,"",_xlpm.v))</f>
        <v/>
      </c>
      <c r="Z312" s="104" t="str">
        <f>_xlfn.LET(_xlpm.v,IF(ISTEXT(Y312),_xlfn.XLOOKUP(Y312,'JP-PINT'!A:A,'JP-PINT'!B:B),""),IF(ISERROR(_xlpm.v),"",_xlpm.v))</f>
        <v/>
      </c>
      <c r="AA312" s="181" t="s">
        <v>24</v>
      </c>
    </row>
    <row r="313" spans="1:27" s="6" customFormat="1" ht="12.75" customHeight="1">
      <c r="A313" s="4">
        <f>IF(ISTEXT(E313),_xlfn.XLOOKUP(E313,'[1]SME09-01_LHM'!$D:$D,'[1]SME09-01_LHM'!$B:$B))</f>
        <v>415</v>
      </c>
      <c r="B313" s="4">
        <f>_xlfn.XLOOKUP(F313,'[1]SME09-01_LHM'!$I:$I,'[1]SME09-01_LHM'!$B:$B)</f>
        <v>415</v>
      </c>
      <c r="C313" s="22">
        <f>ROW()-25</f>
        <v>288</v>
      </c>
      <c r="D313" s="16" t="s">
        <v>622</v>
      </c>
      <c r="E313" s="16" t="s">
        <v>1025</v>
      </c>
      <c r="F313" s="18" t="s">
        <v>1024</v>
      </c>
      <c r="G313" s="18" t="s">
        <v>1023</v>
      </c>
      <c r="H313" s="16" t="s">
        <v>8</v>
      </c>
      <c r="I313" s="16" t="s">
        <v>74</v>
      </c>
      <c r="J313" s="188" t="s">
        <v>18</v>
      </c>
      <c r="K313" s="181" t="s">
        <v>18</v>
      </c>
      <c r="L313" s="242"/>
      <c r="M313" s="186"/>
      <c r="N313" s="181" t="s">
        <v>46</v>
      </c>
      <c r="O313" s="7"/>
      <c r="P313" s="105" t="s">
        <v>126</v>
      </c>
      <c r="Q313" s="105" t="s">
        <v>1022</v>
      </c>
      <c r="R313" s="105" t="s">
        <v>10</v>
      </c>
      <c r="S313" s="104" t="s">
        <v>1021</v>
      </c>
      <c r="T313" s="106" t="s">
        <v>13</v>
      </c>
      <c r="U313" s="106" t="s">
        <v>24</v>
      </c>
      <c r="V313" s="105" t="s">
        <v>24</v>
      </c>
      <c r="W313" s="3" t="s">
        <v>10</v>
      </c>
      <c r="X313" s="3"/>
      <c r="Y313" s="182" t="str">
        <f>_xlfn.LET(_xlpm.v,_xlfn.XLOOKUP(E313,'[1]SME09-01_LHM'!$D:$D,'[1]SME09-01_LHM'!$AL:$AL),IF(_xlpm.v=0,"",_xlpm.v))</f>
        <v>IBT-071</v>
      </c>
      <c r="Z313" s="104" t="str">
        <f>_xlfn.LET(_xlpm.v,IF(ISTEXT(Y313),_xlfn.XLOOKUP(Y313,'JP-PINT'!A:A,'JP-PINT'!B:B),""),IF(ISERROR(_xlpm.v),"",_xlpm.v))</f>
        <v>&gt; Deliver to location identifier</v>
      </c>
      <c r="AA313" s="16" t="s">
        <v>8</v>
      </c>
    </row>
    <row r="314" spans="1:27" s="6" customFormat="1" ht="12.75" customHeight="1">
      <c r="A314" s="4">
        <f>IF(ISTEXT(E314),_xlfn.XLOOKUP(E314,'[1]SME09-01_LHM'!$D:$D,'[1]SME09-01_LHM'!$B:$B))</f>
        <v>416</v>
      </c>
      <c r="B314" s="4">
        <f>_xlfn.XLOOKUP(F314,'[1]SME09-01_LHM'!$I:$I,'[1]SME09-01_LHM'!$B:$B)</f>
        <v>416</v>
      </c>
      <c r="C314" s="22">
        <f>ROW()-25</f>
        <v>289</v>
      </c>
      <c r="D314" s="16" t="s">
        <v>622</v>
      </c>
      <c r="E314" s="16" t="s">
        <v>1019</v>
      </c>
      <c r="F314" s="18" t="s">
        <v>1018</v>
      </c>
      <c r="G314" s="18" t="s">
        <v>1017</v>
      </c>
      <c r="H314" s="16" t="s">
        <v>8</v>
      </c>
      <c r="I314" s="16" t="s">
        <v>74</v>
      </c>
      <c r="J314" s="188" t="s">
        <v>18</v>
      </c>
      <c r="K314" s="181" t="s">
        <v>18</v>
      </c>
      <c r="L314" s="242"/>
      <c r="M314" s="186"/>
      <c r="N314" s="181" t="s">
        <v>72</v>
      </c>
      <c r="O314" s="7"/>
      <c r="P314" s="105" t="s">
        <v>126</v>
      </c>
      <c r="Q314" s="105" t="s">
        <v>1016</v>
      </c>
      <c r="R314" s="105" t="s">
        <v>10</v>
      </c>
      <c r="S314" s="104"/>
      <c r="T314" s="103"/>
      <c r="U314" s="103" t="s">
        <v>24</v>
      </c>
      <c r="V314" s="105" t="s">
        <v>24</v>
      </c>
      <c r="W314" s="3" t="s">
        <v>10</v>
      </c>
      <c r="X314" s="3"/>
      <c r="Y314" s="182" t="str">
        <f>_xlfn.LET(_xlpm.v,_xlfn.XLOOKUP(E314,'[1]SME09-01_LHM'!$D:$D,'[1]SME09-01_LHM'!$AL:$AL),IF(_xlpm.v=0,"",_xlpm.v))</f>
        <v>IBT-070</v>
      </c>
      <c r="Z314" s="104" t="str">
        <f>_xlfn.LET(_xlpm.v,IF(ISTEXT(Y314),_xlfn.XLOOKUP(Y314,'JP-PINT'!A:A,'JP-PINT'!B:B),""),IF(ISERROR(_xlpm.v),"",_xlpm.v))</f>
        <v>&gt; Deliver to party name</v>
      </c>
      <c r="AA314" s="16" t="s">
        <v>8</v>
      </c>
    </row>
    <row r="315" spans="1:27" s="6" customFormat="1" ht="12.75" customHeight="1">
      <c r="A315" s="4">
        <f>IF(ISTEXT(E315),_xlfn.XLOOKUP(E315,'[1]SME09-01_LHM'!$D:$D,'[1]SME09-01_LHM'!$B:$B))</f>
        <v>417</v>
      </c>
      <c r="B315" s="4">
        <f>_xlfn.XLOOKUP(F315,'[1]SME09-01_LHM'!$I:$I,'[1]SME09-01_LHM'!$B:$B)</f>
        <v>417</v>
      </c>
      <c r="C315" s="22">
        <f>ROW()-25</f>
        <v>290</v>
      </c>
      <c r="D315" s="26" t="s">
        <v>622</v>
      </c>
      <c r="E315" s="208" t="s">
        <v>1014</v>
      </c>
      <c r="F315" s="93" t="s">
        <v>2741</v>
      </c>
      <c r="G315" s="25" t="s">
        <v>1013</v>
      </c>
      <c r="H315" s="26" t="s">
        <v>8</v>
      </c>
      <c r="I315" s="26" t="s">
        <v>143</v>
      </c>
      <c r="J315" s="201" t="s">
        <v>18</v>
      </c>
      <c r="K315" s="199" t="s">
        <v>18</v>
      </c>
      <c r="L315" s="245"/>
      <c r="M315" s="189"/>
      <c r="N315" s="181" t="s">
        <v>72</v>
      </c>
      <c r="O315" s="7"/>
      <c r="P315" s="105" t="s">
        <v>126</v>
      </c>
      <c r="Q315" s="105" t="s">
        <v>1012</v>
      </c>
      <c r="R315" s="105" t="s">
        <v>25</v>
      </c>
      <c r="S315" s="104"/>
      <c r="T315" s="103" t="s">
        <v>103</v>
      </c>
      <c r="U315" s="103" t="s">
        <v>24</v>
      </c>
      <c r="V315" s="105" t="s">
        <v>24</v>
      </c>
      <c r="W315" s="3" t="s">
        <v>25</v>
      </c>
      <c r="X315" s="3"/>
      <c r="Y315" s="182" t="str">
        <f>_xlfn.LET(_xlpm.v,_xlfn.XLOOKUP(E315,'[1]SME09-01_LHM'!$D:$D,'[1]SME09-01_LHM'!$AL:$AL),IF(_xlpm.v=0,"",_xlpm.v))</f>
        <v>IBG-15</v>
      </c>
      <c r="Z315" s="104" t="str">
        <f>_xlfn.LET(_xlpm.v,IF(ISTEXT(Y315),_xlfn.XLOOKUP(Y315,'JP-PINT'!A:A,'JP-PINT'!B:B),""),IF(ISERROR(_xlpm.v),"",_xlpm.v))</f>
        <v>&gt; DELIVER TO ADDRESS</v>
      </c>
      <c r="AA315" s="16" t="s">
        <v>8</v>
      </c>
    </row>
    <row r="316" spans="1:27" s="6" customFormat="1" ht="12.75" customHeight="1">
      <c r="A316" s="4">
        <f>IF(ISTEXT(E316),_xlfn.XLOOKUP(E316,'[1]SME09-01_LHM'!$D:$D,'[1]SME09-01_LHM'!$B:$B))</f>
        <v>419</v>
      </c>
      <c r="B316" s="4">
        <f>_xlfn.XLOOKUP(F316,'[1]SME09-01_LHM'!$I:$I,'[1]SME09-01_LHM'!$B:$B)</f>
        <v>419</v>
      </c>
      <c r="C316" s="22">
        <f>ROW()-25</f>
        <v>291</v>
      </c>
      <c r="D316" s="16" t="s">
        <v>622</v>
      </c>
      <c r="E316" s="16" t="s">
        <v>1010</v>
      </c>
      <c r="F316" s="18" t="s">
        <v>1009</v>
      </c>
      <c r="G316" s="18" t="s">
        <v>1008</v>
      </c>
      <c r="H316" s="16" t="s">
        <v>8</v>
      </c>
      <c r="I316" s="16" t="s">
        <v>143</v>
      </c>
      <c r="J316" s="188" t="s">
        <v>18</v>
      </c>
      <c r="K316" s="181" t="s">
        <v>18</v>
      </c>
      <c r="L316" s="242"/>
      <c r="M316" s="186"/>
      <c r="N316" s="181" t="s">
        <v>46</v>
      </c>
      <c r="O316" s="7"/>
      <c r="P316" s="105" t="s">
        <v>126</v>
      </c>
      <c r="Q316" s="105" t="s">
        <v>1007</v>
      </c>
      <c r="R316" s="105" t="s">
        <v>10</v>
      </c>
      <c r="S316" s="104"/>
      <c r="T316" s="103" t="s">
        <v>103</v>
      </c>
      <c r="U316" s="103" t="s">
        <v>24</v>
      </c>
      <c r="V316" s="105" t="s">
        <v>24</v>
      </c>
      <c r="W316" s="3" t="s">
        <v>10</v>
      </c>
      <c r="X316" s="3"/>
      <c r="Y316" s="182" t="str">
        <f>_xlfn.LET(_xlpm.v,_xlfn.XLOOKUP(E316,'[1]SME09-01_LHM'!$D:$D,'[1]SME09-01_LHM'!$AL:$AL),IF(_xlpm.v=0,"",_xlpm.v))</f>
        <v>IBT-078</v>
      </c>
      <c r="Z316" s="104" t="str">
        <f>_xlfn.LET(_xlpm.v,IF(ISTEXT(Y316),_xlfn.XLOOKUP(Y316,'JP-PINT'!A:A,'JP-PINT'!B:B),""),IF(ISERROR(_xlpm.v),"",_xlpm.v))</f>
        <v>&gt;&gt; Deliver to post code</v>
      </c>
      <c r="AA316" s="16" t="s">
        <v>8</v>
      </c>
    </row>
    <row r="317" spans="1:27" s="6" customFormat="1" ht="12.75" customHeight="1">
      <c r="A317" s="4">
        <f>IF(ISTEXT(E317),_xlfn.XLOOKUP(E317,'[1]SME09-01_LHM'!$D:$D,'[1]SME09-01_LHM'!$B:$B))</f>
        <v>420</v>
      </c>
      <c r="B317" s="4">
        <f>_xlfn.XLOOKUP(F317,'[1]SME09-01_LHM'!$I:$I,'[1]SME09-01_LHM'!$B:$B)</f>
        <v>420</v>
      </c>
      <c r="C317" s="22">
        <f>ROW()-25</f>
        <v>292</v>
      </c>
      <c r="D317" s="16" t="s">
        <v>622</v>
      </c>
      <c r="E317" s="16" t="s">
        <v>1005</v>
      </c>
      <c r="F317" s="18" t="s">
        <v>1004</v>
      </c>
      <c r="G317" s="18" t="s">
        <v>1003</v>
      </c>
      <c r="H317" s="16" t="s">
        <v>8</v>
      </c>
      <c r="I317" s="16" t="s">
        <v>143</v>
      </c>
      <c r="J317" s="188" t="s">
        <v>18</v>
      </c>
      <c r="K317" s="181" t="s">
        <v>18</v>
      </c>
      <c r="L317" s="242"/>
      <c r="M317" s="186"/>
      <c r="N317" s="181" t="s">
        <v>46</v>
      </c>
      <c r="O317" s="7"/>
      <c r="P317" s="105" t="s">
        <v>126</v>
      </c>
      <c r="Q317" s="105" t="s">
        <v>1002</v>
      </c>
      <c r="R317" s="105" t="s">
        <v>10</v>
      </c>
      <c r="S317" s="104"/>
      <c r="T317" s="103"/>
      <c r="U317" s="103" t="s">
        <v>24</v>
      </c>
      <c r="V317" s="105" t="s">
        <v>24</v>
      </c>
      <c r="W317" s="3" t="s">
        <v>10</v>
      </c>
      <c r="X317" s="3"/>
      <c r="Y317" s="182" t="str">
        <f>_xlfn.LET(_xlpm.v,_xlfn.XLOOKUP(E317,'[1]SME09-01_LHM'!$D:$D,'[1]SME09-01_LHM'!$AL:$AL),IF(_xlpm.v=0,"",_xlpm.v))</f>
        <v>IBT-075</v>
      </c>
      <c r="Z317" s="104" t="str">
        <f>_xlfn.LET(_xlpm.v,IF(ISTEXT(Y317),_xlfn.XLOOKUP(Y317,'JP-PINT'!A:A,'JP-PINT'!B:B),""),IF(ISERROR(_xlpm.v),"",_xlpm.v))</f>
        <v>&gt;&gt; Deliver to address line 1</v>
      </c>
      <c r="AA317" s="23" t="s">
        <v>8</v>
      </c>
    </row>
    <row r="318" spans="1:27" ht="12.75" customHeight="1">
      <c r="A318" s="4">
        <f>IF(ISTEXT(E318),_xlfn.XLOOKUP(E318,'[1]SME09-01_LHM'!$D:$D,'[1]SME09-01_LHM'!$B:$B))</f>
        <v>421</v>
      </c>
      <c r="B318" s="4">
        <f>_xlfn.XLOOKUP(F318,'[1]SME09-01_LHM'!$I:$I,'[1]SME09-01_LHM'!$B:$B)</f>
        <v>421</v>
      </c>
      <c r="C318" s="22">
        <f>ROW()-25</f>
        <v>293</v>
      </c>
      <c r="D318" s="16" t="s">
        <v>622</v>
      </c>
      <c r="E318" s="16" t="s">
        <v>1000</v>
      </c>
      <c r="F318" s="18" t="s">
        <v>999</v>
      </c>
      <c r="G318" s="18" t="s">
        <v>998</v>
      </c>
      <c r="H318" s="16" t="s">
        <v>8</v>
      </c>
      <c r="I318" s="16" t="s">
        <v>143</v>
      </c>
      <c r="J318" s="188" t="s">
        <v>18</v>
      </c>
      <c r="K318" s="181" t="s">
        <v>18</v>
      </c>
      <c r="L318" s="242"/>
      <c r="M318" s="186"/>
      <c r="N318" s="181" t="s">
        <v>46</v>
      </c>
      <c r="P318" s="105" t="s">
        <v>126</v>
      </c>
      <c r="Q318" s="105" t="s">
        <v>997</v>
      </c>
      <c r="R318" s="105" t="s">
        <v>10</v>
      </c>
      <c r="S318" s="104"/>
      <c r="T318" s="103"/>
      <c r="U318" s="103" t="s">
        <v>24</v>
      </c>
      <c r="V318" s="105" t="s">
        <v>24</v>
      </c>
      <c r="W318" s="3" t="s">
        <v>10</v>
      </c>
      <c r="Y318" s="182" t="str">
        <f>_xlfn.LET(_xlpm.v,_xlfn.XLOOKUP(E318,'[1]SME09-01_LHM'!$D:$D,'[1]SME09-01_LHM'!$AL:$AL),IF(_xlpm.v=0,"",_xlpm.v))</f>
        <v>IBT-076</v>
      </c>
      <c r="Z318" s="104" t="str">
        <f>_xlfn.LET(_xlpm.v,IF(ISTEXT(Y318),_xlfn.XLOOKUP(Y318,'JP-PINT'!A:A,'JP-PINT'!B:B),""),IF(ISERROR(_xlpm.v),"",_xlpm.v))</f>
        <v>&gt;&gt; Deliver to address line 2</v>
      </c>
      <c r="AA318" s="23" t="s">
        <v>8</v>
      </c>
    </row>
    <row r="319" spans="1:27" ht="12.75" customHeight="1">
      <c r="A319" s="4">
        <f>IF(ISTEXT(E319),_xlfn.XLOOKUP(E319,'[1]SME09-01_LHM'!$D:$D,'[1]SME09-01_LHM'!$B:$B))</f>
        <v>422</v>
      </c>
      <c r="B319" s="4">
        <f>_xlfn.XLOOKUP(F319,'[1]SME09-01_LHM'!$I:$I,'[1]SME09-01_LHM'!$B:$B)</f>
        <v>422</v>
      </c>
      <c r="C319" s="22">
        <f>ROW()-25</f>
        <v>294</v>
      </c>
      <c r="D319" s="16" t="s">
        <v>622</v>
      </c>
      <c r="E319" s="16" t="s">
        <v>995</v>
      </c>
      <c r="F319" s="18" t="s">
        <v>994</v>
      </c>
      <c r="G319" s="18" t="s">
        <v>993</v>
      </c>
      <c r="H319" s="16" t="s">
        <v>8</v>
      </c>
      <c r="I319" s="16" t="s">
        <v>143</v>
      </c>
      <c r="J319" s="188" t="s">
        <v>18</v>
      </c>
      <c r="K319" s="181" t="s">
        <v>18</v>
      </c>
      <c r="L319" s="242"/>
      <c r="M319" s="186"/>
      <c r="N319" s="181" t="s">
        <v>46</v>
      </c>
      <c r="P319" s="105" t="s">
        <v>126</v>
      </c>
      <c r="Q319" s="105" t="s">
        <v>992</v>
      </c>
      <c r="R319" s="105" t="s">
        <v>10</v>
      </c>
      <c r="S319" s="104"/>
      <c r="T319" s="103"/>
      <c r="U319" s="103" t="s">
        <v>24</v>
      </c>
      <c r="V319" s="105" t="s">
        <v>24</v>
      </c>
      <c r="W319" s="3" t="s">
        <v>10</v>
      </c>
      <c r="Y319" s="182" t="str">
        <f>_xlfn.LET(_xlpm.v,_xlfn.XLOOKUP(E319,'[1]SME09-01_LHM'!$D:$D,'[1]SME09-01_LHM'!$AL:$AL),IF(_xlpm.v=0,"",_xlpm.v))</f>
        <v>IBT-165</v>
      </c>
      <c r="Z319" s="104" t="str">
        <f>_xlfn.LET(_xlpm.v,IF(ISTEXT(Y319),_xlfn.XLOOKUP(Y319,'JP-PINT'!A:A,'JP-PINT'!B:B),""),IF(ISERROR(_xlpm.v),"",_xlpm.v))</f>
        <v>&gt;&gt; Deliver to address line 3</v>
      </c>
      <c r="AA319" s="23" t="s">
        <v>8</v>
      </c>
    </row>
    <row r="320" spans="1:27" ht="12.75" customHeight="1">
      <c r="A320" s="4">
        <f>IF(ISTEXT(E320),_xlfn.XLOOKUP(E320,'[1]SME09-01_LHM'!$D:$D,'[1]SME09-01_LHM'!$B:$B))</f>
        <v>423</v>
      </c>
      <c r="B320" s="4">
        <f>_xlfn.XLOOKUP(F320,'[1]SME09-01_LHM'!$I:$I,'[1]SME09-01_LHM'!$B:$B)</f>
        <v>423</v>
      </c>
      <c r="C320" s="22">
        <f>ROW()-25</f>
        <v>295</v>
      </c>
      <c r="D320" s="16" t="s">
        <v>622</v>
      </c>
      <c r="E320" s="16" t="s">
        <v>990</v>
      </c>
      <c r="F320" s="18" t="s">
        <v>989</v>
      </c>
      <c r="G320" s="18" t="s">
        <v>988</v>
      </c>
      <c r="H320" s="16" t="s">
        <v>8</v>
      </c>
      <c r="I320" s="16" t="s">
        <v>143</v>
      </c>
      <c r="J320" s="188" t="s">
        <v>18</v>
      </c>
      <c r="K320" s="181" t="s">
        <v>18</v>
      </c>
      <c r="L320" s="242"/>
      <c r="M320" s="186"/>
      <c r="N320" s="181" t="s">
        <v>183</v>
      </c>
      <c r="P320" s="105" t="s">
        <v>126</v>
      </c>
      <c r="Q320" s="105" t="s">
        <v>987</v>
      </c>
      <c r="R320" s="105" t="s">
        <v>10</v>
      </c>
      <c r="S320" s="104" t="s">
        <v>14</v>
      </c>
      <c r="T320" s="103" t="s">
        <v>13</v>
      </c>
      <c r="U320" s="103" t="s">
        <v>24</v>
      </c>
      <c r="V320" s="105" t="s">
        <v>24</v>
      </c>
      <c r="W320" s="3" t="s">
        <v>10</v>
      </c>
      <c r="Y320" s="182" t="str">
        <f>_xlfn.LET(_xlpm.v,_xlfn.XLOOKUP(E320,'[1]SME09-01_LHM'!$D:$D,'[1]SME09-01_LHM'!$AL:$AL),IF(_xlpm.v=0,"",_xlpm.v))</f>
        <v>IBT-080</v>
      </c>
      <c r="Z320" s="104" t="str">
        <f>_xlfn.LET(_xlpm.v,IF(ISTEXT(Y320),_xlfn.XLOOKUP(Y320,'JP-PINT'!A:A,'JP-PINT'!B:B),""),IF(ISERROR(_xlpm.v),"",_xlpm.v))</f>
        <v>&gt;&gt; Deliver to country code</v>
      </c>
      <c r="AA320" s="23" t="s">
        <v>31</v>
      </c>
    </row>
    <row r="321" spans="1:27" ht="12.75" customHeight="1">
      <c r="A321" s="4">
        <f>IF(ISTEXT(E321),_xlfn.XLOOKUP(E321,'[1]SME09-01_LHM'!$D:$D,'[1]SME09-01_LHM'!$B:$B))</f>
        <v>424</v>
      </c>
      <c r="B321" s="4">
        <f>_xlfn.XLOOKUP(F321,'[1]SME09-01_LHM'!$I:$I,'[1]SME09-01_LHM'!$B:$B)</f>
        <v>424</v>
      </c>
      <c r="C321" s="22">
        <f>ROW()-25</f>
        <v>296</v>
      </c>
      <c r="D321" s="26" t="s">
        <v>622</v>
      </c>
      <c r="E321" s="67" t="s">
        <v>985</v>
      </c>
      <c r="F321" s="93" t="s">
        <v>2742</v>
      </c>
      <c r="G321" s="25" t="s">
        <v>984</v>
      </c>
      <c r="H321" s="26" t="s">
        <v>8</v>
      </c>
      <c r="I321" s="26" t="s">
        <v>143</v>
      </c>
      <c r="J321" s="201" t="s">
        <v>18</v>
      </c>
      <c r="K321" s="199" t="s">
        <v>18</v>
      </c>
      <c r="L321" s="245"/>
      <c r="M321" s="195" t="s">
        <v>73</v>
      </c>
      <c r="N321" s="181" t="s">
        <v>27</v>
      </c>
      <c r="P321" s="105" t="s">
        <v>126</v>
      </c>
      <c r="Q321" s="105" t="s">
        <v>983</v>
      </c>
      <c r="R321" s="105" t="s">
        <v>25</v>
      </c>
      <c r="S321" s="104"/>
      <c r="T321" s="103" t="s">
        <v>103</v>
      </c>
      <c r="U321" s="103" t="s">
        <v>24</v>
      </c>
      <c r="V321" s="105" t="s">
        <v>24</v>
      </c>
      <c r="W321" s="3" t="s">
        <v>25</v>
      </c>
      <c r="Y321" s="182" t="str">
        <f>_xlfn.LET(_xlpm.v,_xlfn.XLOOKUP(E321,'[1]SME09-01_LHM'!$D:$D,'[1]SME09-01_LHM'!$AL:$AL),IF(_xlpm.v=0,"",_xlpm.v))</f>
        <v/>
      </c>
      <c r="Z321" s="104" t="str">
        <f>_xlfn.LET(_xlpm.v,IF(ISTEXT(Y321),_xlfn.XLOOKUP(Y321,'JP-PINT'!A:A,'JP-PINT'!B:B),""),IF(ISERROR(_xlpm.v),"",_xlpm.v))</f>
        <v/>
      </c>
      <c r="AA321" s="181" t="s">
        <v>24</v>
      </c>
    </row>
    <row r="322" spans="1:27" ht="12.75" customHeight="1">
      <c r="A322" s="4">
        <f>IF(ISTEXT(E322),_xlfn.XLOOKUP(E322,'[1]SME09-01_LHM'!$D:$D,'[1]SME09-01_LHM'!$B:$B))</f>
        <v>426</v>
      </c>
      <c r="B322" s="4">
        <f>_xlfn.XLOOKUP(F322,'[1]SME09-01_LHM'!$I:$I,'[1]SME09-01_LHM'!$B:$B)</f>
        <v>426</v>
      </c>
      <c r="C322" s="22">
        <f>ROW()-25</f>
        <v>297</v>
      </c>
      <c r="D322" s="16" t="s">
        <v>622</v>
      </c>
      <c r="E322" s="16" t="s">
        <v>982</v>
      </c>
      <c r="F322" s="18" t="s">
        <v>981</v>
      </c>
      <c r="G322" s="18" t="s">
        <v>423</v>
      </c>
      <c r="H322" s="16" t="s">
        <v>8</v>
      </c>
      <c r="I322" s="16" t="s">
        <v>143</v>
      </c>
      <c r="J322" s="188" t="s">
        <v>18</v>
      </c>
      <c r="K322" s="181" t="s">
        <v>18</v>
      </c>
      <c r="L322" s="242"/>
      <c r="M322" s="186" t="s">
        <v>618</v>
      </c>
      <c r="N322" s="181" t="s">
        <v>46</v>
      </c>
      <c r="P322" s="105" t="s">
        <v>126</v>
      </c>
      <c r="Q322" s="105" t="s">
        <v>415</v>
      </c>
      <c r="R322" s="105" t="s">
        <v>10</v>
      </c>
      <c r="S322" s="104"/>
      <c r="T322" s="106"/>
      <c r="U322" s="106" t="s">
        <v>24</v>
      </c>
      <c r="V322" s="105" t="s">
        <v>24</v>
      </c>
      <c r="W322" s="3" t="s">
        <v>10</v>
      </c>
      <c r="Y322" s="182" t="str">
        <f>_xlfn.LET(_xlpm.v,_xlfn.XLOOKUP(E322,'[1]SME09-01_LHM'!$D:$D,'[1]SME09-01_LHM'!$AL:$AL),IF(_xlpm.v=0,"",_xlpm.v))</f>
        <v>IBT-072</v>
      </c>
      <c r="Z322" s="104" t="str">
        <f>_xlfn.LET(_xlpm.v,IF(ISTEXT(Y322),_xlfn.XLOOKUP(Y322,'JP-PINT'!A:A,'JP-PINT'!B:B),""),IF(ISERROR(_xlpm.v),"",_xlpm.v))</f>
        <v>&gt; Actual delivery date</v>
      </c>
      <c r="AA322" s="23" t="s">
        <v>8</v>
      </c>
    </row>
    <row r="323" spans="1:27" ht="12.75" customHeight="1">
      <c r="A323" s="4">
        <f>IF(ISTEXT(E323),_xlfn.XLOOKUP(E323,'[1]SME09-01_LHM'!$D:$D,'[1]SME09-01_LHM'!$B:$B))</f>
        <v>427</v>
      </c>
      <c r="B323" s="4">
        <f>_xlfn.XLOOKUP(F323,'[1]SME09-01_LHM'!$I:$I,'[1]SME09-01_LHM'!$B:$B)</f>
        <v>427</v>
      </c>
      <c r="C323" s="37">
        <f>ROW()-25</f>
        <v>298</v>
      </c>
      <c r="D323" s="46" t="s">
        <v>622</v>
      </c>
      <c r="E323" s="46" t="s">
        <v>980</v>
      </c>
      <c r="F323" s="93" t="s">
        <v>2743</v>
      </c>
      <c r="G323" s="58" t="s">
        <v>979</v>
      </c>
      <c r="H323" s="46" t="s">
        <v>8</v>
      </c>
      <c r="I323" s="39" t="s">
        <v>227</v>
      </c>
      <c r="J323" s="269" t="s">
        <v>18</v>
      </c>
      <c r="K323" s="282" t="s">
        <v>18</v>
      </c>
      <c r="L323" s="283"/>
      <c r="M323" s="195" t="s">
        <v>73</v>
      </c>
      <c r="N323" s="196" t="s">
        <v>27</v>
      </c>
      <c r="P323" s="148" t="s">
        <v>126</v>
      </c>
      <c r="Q323" s="148" t="s">
        <v>978</v>
      </c>
      <c r="R323" s="148" t="s">
        <v>25</v>
      </c>
      <c r="S323" s="130"/>
      <c r="T323" s="149" t="s">
        <v>103</v>
      </c>
      <c r="U323" s="149" t="s">
        <v>24</v>
      </c>
      <c r="V323" s="148" t="s">
        <v>24</v>
      </c>
      <c r="W323" s="3" t="s">
        <v>25</v>
      </c>
      <c r="Y323" s="182" t="str">
        <f>_xlfn.LET(_xlpm.v,_xlfn.XLOOKUP(E323,'[1]SME09-01_LHM'!$D:$D,'[1]SME09-01_LHM'!$AL:$AL),IF(_xlpm.v=0,"",_xlpm.v))</f>
        <v/>
      </c>
      <c r="Z323" s="104" t="str">
        <f>_xlfn.LET(_xlpm.v,IF(ISTEXT(Y323),_xlfn.XLOOKUP(Y323,'JP-PINT'!A:A,'JP-PINT'!B:B),""),IF(ISERROR(_xlpm.v),"",_xlpm.v))</f>
        <v/>
      </c>
      <c r="AA323" s="196" t="s">
        <v>24</v>
      </c>
    </row>
    <row r="324" spans="1:27" s="45" customFormat="1" ht="12.75" customHeight="1">
      <c r="A324" s="4">
        <f>IF(ISTEXT(E324),_xlfn.XLOOKUP(E324,'[1]SME09-01_LHM'!$D:$D,'[1]SME09-01_LHM'!$B:$B))</f>
        <v>429</v>
      </c>
      <c r="B324" s="4">
        <f>_xlfn.XLOOKUP(F324,'[1]SME09-01_LHM'!$I:$I,'[1]SME09-01_LHM'!$B:$B)</f>
        <v>429</v>
      </c>
      <c r="C324" s="37">
        <f>ROW()-25</f>
        <v>299</v>
      </c>
      <c r="D324" s="35" t="s">
        <v>622</v>
      </c>
      <c r="E324" s="35" t="s">
        <v>977</v>
      </c>
      <c r="F324" s="37" t="s">
        <v>976</v>
      </c>
      <c r="G324" s="37" t="s">
        <v>416</v>
      </c>
      <c r="H324" s="35" t="s">
        <v>8</v>
      </c>
      <c r="I324" s="39" t="s">
        <v>227</v>
      </c>
      <c r="J324" s="197" t="s">
        <v>18</v>
      </c>
      <c r="K324" s="196" t="s">
        <v>18</v>
      </c>
      <c r="L324" s="279"/>
      <c r="M324" s="186" t="s">
        <v>618</v>
      </c>
      <c r="N324" s="196"/>
      <c r="O324" s="7"/>
      <c r="P324" s="148" t="s">
        <v>126</v>
      </c>
      <c r="Q324" s="148" t="s">
        <v>415</v>
      </c>
      <c r="R324" s="148" t="s">
        <v>10</v>
      </c>
      <c r="S324" s="130"/>
      <c r="T324" s="149"/>
      <c r="U324" s="149" t="s">
        <v>24</v>
      </c>
      <c r="V324" s="148" t="s">
        <v>24</v>
      </c>
      <c r="W324" s="3" t="s">
        <v>10</v>
      </c>
      <c r="X324" s="3"/>
      <c r="Y324" s="182" t="str">
        <f>_xlfn.LET(_xlpm.v,_xlfn.XLOOKUP(E324,'[1]SME09-01_LHM'!$D:$D,'[1]SME09-01_LHM'!$AL:$AL),IF(_xlpm.v=0,"",_xlpm.v))</f>
        <v/>
      </c>
      <c r="Z324" s="104" t="str">
        <f>_xlfn.LET(_xlpm.v,IF(ISTEXT(Y324),_xlfn.XLOOKUP(Y324,'JP-PINT'!A:A,'JP-PINT'!B:B),""),IF(ISERROR(_xlpm.v),"",_xlpm.v))</f>
        <v/>
      </c>
      <c r="AA324" s="35"/>
    </row>
    <row r="325" spans="1:27" s="45" customFormat="1" ht="12.75" customHeight="1">
      <c r="A325" s="4">
        <f>IF(ISTEXT(E325),_xlfn.XLOOKUP(E325,'[1]SME09-01_LHM'!$D:$D,'[1]SME09-01_LHM'!$B:$B))</f>
        <v>430</v>
      </c>
      <c r="B325" s="4">
        <f>_xlfn.XLOOKUP(F325,'[1]SME09-01_LHM'!$I:$I,'[1]SME09-01_LHM'!$B:$B)</f>
        <v>430</v>
      </c>
      <c r="C325" s="22">
        <f>ROW()-25</f>
        <v>300</v>
      </c>
      <c r="D325" s="26" t="s">
        <v>622</v>
      </c>
      <c r="E325" s="89" t="s">
        <v>975</v>
      </c>
      <c r="F325" s="93" t="s">
        <v>2744</v>
      </c>
      <c r="G325" s="25" t="s">
        <v>974</v>
      </c>
      <c r="H325" s="26" t="s">
        <v>43</v>
      </c>
      <c r="I325" s="26" t="s">
        <v>74</v>
      </c>
      <c r="J325" s="201" t="s">
        <v>66</v>
      </c>
      <c r="K325" s="199" t="s">
        <v>66</v>
      </c>
      <c r="L325" s="245"/>
      <c r="M325" s="189"/>
      <c r="N325" s="181" t="s">
        <v>103</v>
      </c>
      <c r="O325" s="7"/>
      <c r="P325" s="105" t="s">
        <v>126</v>
      </c>
      <c r="Q325" s="105" t="s">
        <v>973</v>
      </c>
      <c r="R325" s="105" t="s">
        <v>25</v>
      </c>
      <c r="S325" s="104"/>
      <c r="T325" s="106" t="s">
        <v>103</v>
      </c>
      <c r="U325" s="106" t="s">
        <v>24</v>
      </c>
      <c r="V325" s="105" t="s">
        <v>24</v>
      </c>
      <c r="W325" s="3" t="s">
        <v>25</v>
      </c>
      <c r="X325" s="3"/>
      <c r="Y325" s="182" t="str">
        <f>_xlfn.LET(_xlpm.v,_xlfn.XLOOKUP(E325,'[1]SME09-01_LHM'!$D:$D,'[1]SME09-01_LHM'!$AL:$AL),IF(_xlpm.v=0,"",_xlpm.v))</f>
        <v/>
      </c>
      <c r="Z325" s="104" t="str">
        <f>_xlfn.LET(_xlpm.v,IF(ISTEXT(Y325),_xlfn.XLOOKUP(Y325,'JP-PINT'!A:A,'JP-PINT'!B:B),""),IF(ISERROR(_xlpm.v),"",_xlpm.v))</f>
        <v/>
      </c>
      <c r="AA325" s="181" t="s">
        <v>24</v>
      </c>
    </row>
    <row r="326" spans="1:27" s="137" customFormat="1" ht="12.75" customHeight="1">
      <c r="A326" s="4">
        <f>IF(ISTEXT(E326),_xlfn.XLOOKUP(E326,'[1]SME09-01_LHM'!$D:$D,'[1]SME09-01_LHM'!$B:$B))</f>
        <v>432</v>
      </c>
      <c r="B326" s="4">
        <f>_xlfn.XLOOKUP(F326,'[1]SME09-01_LHM'!$I:$I,'[1]SME09-01_LHM'!$B:$B)</f>
        <v>432</v>
      </c>
      <c r="C326" s="102">
        <f>ROW()-25</f>
        <v>301</v>
      </c>
      <c r="D326" s="103" t="s">
        <v>622</v>
      </c>
      <c r="E326" s="103" t="s">
        <v>972</v>
      </c>
      <c r="F326" s="105" t="s">
        <v>971</v>
      </c>
      <c r="G326" s="105" t="s">
        <v>970</v>
      </c>
      <c r="H326" s="103" t="s">
        <v>31</v>
      </c>
      <c r="I326" s="103" t="s">
        <v>74</v>
      </c>
      <c r="J326" s="222" t="s">
        <v>66</v>
      </c>
      <c r="K326" s="223" t="s">
        <v>66</v>
      </c>
      <c r="L326" s="224"/>
      <c r="M326" s="193" t="s">
        <v>618</v>
      </c>
      <c r="N326" s="223" t="s">
        <v>72</v>
      </c>
      <c r="O326" s="136"/>
      <c r="P326" s="105" t="s">
        <v>126</v>
      </c>
      <c r="Q326" s="105" t="s">
        <v>327</v>
      </c>
      <c r="R326" s="105" t="s">
        <v>10</v>
      </c>
      <c r="S326" s="104"/>
      <c r="T326" s="106" t="s">
        <v>103</v>
      </c>
      <c r="U326" s="106" t="s">
        <v>24</v>
      </c>
      <c r="V326" s="105" t="s">
        <v>24</v>
      </c>
      <c r="W326" s="107" t="s">
        <v>10</v>
      </c>
      <c r="X326" s="107"/>
      <c r="Y326" s="192" t="str">
        <f>_xlfn.LET(_xlpm.v,_xlfn.XLOOKUP(E326,'[1]SME09-01_LHM'!$D:$D,'[1]SME09-01_LHM'!$AL:$AL),IF(_xlpm.v=0,"",_xlpm.v))</f>
        <v>IBT-016</v>
      </c>
      <c r="Z326" s="104" t="str">
        <f>_xlfn.LET(_xlpm.v,IF(ISTEXT(Y326),_xlfn.XLOOKUP(Y326,'JP-PINT'!A:A,'JP-PINT'!B:B),""),IF(ISERROR(_xlpm.v),"",_xlpm.v))</f>
        <v>Despatch advice reference</v>
      </c>
      <c r="AA326" s="138" t="s">
        <v>8</v>
      </c>
    </row>
    <row r="327" spans="1:27" ht="12.75" customHeight="1">
      <c r="A327" s="4" t="e">
        <f>IF(ISTEXT(E327),_xlfn.XLOOKUP(E327,'[1]SME09-01_LHM'!$D:$D,'[1]SME09-01_LHM'!$B:$B))</f>
        <v>#N/A</v>
      </c>
      <c r="B327" s="4" t="e">
        <f>_xlfn.XLOOKUP(F327,'[1]SME09-01_LHM'!$I:$I,'[1]SME09-01_LHM'!$B:$B)</f>
        <v>#N/A</v>
      </c>
      <c r="C327" s="37">
        <f>ROW()-25</f>
        <v>302</v>
      </c>
      <c r="D327" s="35" t="s">
        <v>736</v>
      </c>
      <c r="E327" s="35" t="s">
        <v>968</v>
      </c>
      <c r="F327" s="37" t="s">
        <v>967</v>
      </c>
      <c r="G327" s="37" t="s">
        <v>966</v>
      </c>
      <c r="H327" s="35" t="s">
        <v>8</v>
      </c>
      <c r="I327" s="39" t="s">
        <v>227</v>
      </c>
      <c r="J327" s="38" t="s">
        <v>505</v>
      </c>
      <c r="K327" s="35" t="s">
        <v>505</v>
      </c>
      <c r="L327" s="242"/>
      <c r="M327" s="19"/>
      <c r="N327" s="35" t="s">
        <v>27</v>
      </c>
      <c r="O327" s="206"/>
      <c r="P327" s="148" t="s">
        <v>941</v>
      </c>
      <c r="Q327" s="148" t="s">
        <v>523</v>
      </c>
      <c r="R327" s="148" t="s">
        <v>10</v>
      </c>
      <c r="S327" s="148"/>
      <c r="T327" s="149"/>
      <c r="U327" s="149"/>
      <c r="V327" s="130"/>
      <c r="W327" s="3" t="s">
        <v>10</v>
      </c>
      <c r="Y327" s="182"/>
      <c r="Z327" s="104" t="str">
        <f>_xlfn.LET(_xlpm.v,IF(ISTEXT(Y327),_xlfn.XLOOKUP(Y327,'JP-PINT'!A:A,'JP-PINT'!B:B),""),IF(ISERROR(_xlpm.v),"",_xlpm.v))</f>
        <v/>
      </c>
      <c r="AA327" s="35"/>
    </row>
    <row r="328" spans="1:27" s="45" customFormat="1" ht="12.75" customHeight="1">
      <c r="A328" s="4" t="e">
        <f>IF(ISTEXT(E328),_xlfn.XLOOKUP(E328,'[1]SME09-01_LHM'!$D:$D,'[1]SME09-01_LHM'!$B:$B))</f>
        <v>#N/A</v>
      </c>
      <c r="B328" s="4" t="e">
        <f>_xlfn.XLOOKUP(F328,'[1]SME09-01_LHM'!$I:$I,'[1]SME09-01_LHM'!$B:$B)</f>
        <v>#N/A</v>
      </c>
      <c r="C328" s="37">
        <f>ROW()-25</f>
        <v>303</v>
      </c>
      <c r="D328" s="35" t="s">
        <v>736</v>
      </c>
      <c r="E328" s="35" t="s">
        <v>965</v>
      </c>
      <c r="F328" s="37" t="s">
        <v>964</v>
      </c>
      <c r="G328" s="37" t="s">
        <v>963</v>
      </c>
      <c r="H328" s="35" t="s">
        <v>8</v>
      </c>
      <c r="I328" s="39" t="s">
        <v>127</v>
      </c>
      <c r="J328" s="197" t="s">
        <v>18</v>
      </c>
      <c r="K328" s="197" t="s">
        <v>18</v>
      </c>
      <c r="L328" s="279"/>
      <c r="M328" s="195" t="s">
        <v>73</v>
      </c>
      <c r="N328" s="35" t="s">
        <v>27</v>
      </c>
      <c r="O328" s="280"/>
      <c r="P328" s="148" t="s">
        <v>937</v>
      </c>
      <c r="Q328" s="148" t="s">
        <v>322</v>
      </c>
      <c r="R328" s="148" t="s">
        <v>10</v>
      </c>
      <c r="S328" s="130"/>
      <c r="T328" s="153"/>
      <c r="U328" s="153" t="s">
        <v>24</v>
      </c>
      <c r="V328" s="148" t="s">
        <v>24</v>
      </c>
      <c r="W328" s="203" t="s">
        <v>10</v>
      </c>
      <c r="X328" s="203"/>
      <c r="Y328" s="182"/>
      <c r="Z328" s="104" t="str">
        <f>_xlfn.LET(_xlpm.v,IF(ISTEXT(Y328),_xlfn.XLOOKUP(Y328,'JP-PINT'!A:A,'JP-PINT'!B:B),""),IF(ISERROR(_xlpm.v),"",_xlpm.v))</f>
        <v/>
      </c>
      <c r="AA328" s="35" t="s">
        <v>24</v>
      </c>
    </row>
    <row r="329" spans="1:27" s="281" customFormat="1" ht="12.75" customHeight="1">
      <c r="A329" s="4">
        <f>IF(ISTEXT(E329),_xlfn.XLOOKUP(E329,'[1]SME09-01_LHM'!$D:$D,'[1]SME09-01_LHM'!$B:$B))</f>
        <v>435</v>
      </c>
      <c r="B329" s="4">
        <f>_xlfn.XLOOKUP(F329,'[1]SME09-01_LHM'!$I:$I,'[1]SME09-01_LHM'!$B:$B)</f>
        <v>435</v>
      </c>
      <c r="C329" s="22">
        <f>ROW()-25</f>
        <v>304</v>
      </c>
      <c r="D329" s="16" t="s">
        <v>622</v>
      </c>
      <c r="E329" s="16" t="s">
        <v>962</v>
      </c>
      <c r="F329" s="18" t="s">
        <v>961</v>
      </c>
      <c r="G329" s="18" t="s">
        <v>960</v>
      </c>
      <c r="H329" s="16" t="s">
        <v>8</v>
      </c>
      <c r="I329" s="70" t="s">
        <v>74</v>
      </c>
      <c r="J329" s="71" t="s">
        <v>18</v>
      </c>
      <c r="K329" s="70" t="s">
        <v>18</v>
      </c>
      <c r="L329" s="69"/>
      <c r="M329" s="68"/>
      <c r="N329" s="70" t="s">
        <v>398</v>
      </c>
      <c r="O329" s="7"/>
      <c r="P329" s="105" t="s">
        <v>126</v>
      </c>
      <c r="Q329" s="105" t="s">
        <v>307</v>
      </c>
      <c r="R329" s="105" t="s">
        <v>10</v>
      </c>
      <c r="S329" s="198"/>
      <c r="T329" s="70" t="s">
        <v>24</v>
      </c>
      <c r="U329" s="70" t="s">
        <v>24</v>
      </c>
      <c r="V329" s="66" t="s">
        <v>24</v>
      </c>
      <c r="W329" s="3" t="s">
        <v>10</v>
      </c>
      <c r="X329" s="3"/>
      <c r="Y329" s="182" t="str">
        <f>_xlfn.LET(_xlpm.v,_xlfn.XLOOKUP(E329,'[1]SME09-01_LHM'!$D:$D,'[1]SME09-01_LHM'!$AL:$AL),IF(_xlpm.v=0,"",_xlpm.v))</f>
        <v/>
      </c>
      <c r="Z329" s="104" t="str">
        <f>_xlfn.LET(_xlpm.v,IF(ISTEXT(Y329),_xlfn.XLOOKUP(Y329,'JP-PINT'!A:A,'JP-PINT'!B:B),""),IF(ISERROR(_xlpm.v),"",_xlpm.v))</f>
        <v/>
      </c>
      <c r="AA329" s="181" t="s">
        <v>24</v>
      </c>
    </row>
    <row r="330" spans="1:27" s="6" customFormat="1" ht="12.75" customHeight="1">
      <c r="A330" s="4">
        <f>IF(ISTEXT(E330),_xlfn.XLOOKUP(E330,'[1]SME09-01_LHM'!$D:$D,'[1]SME09-01_LHM'!$B:$B))</f>
        <v>436</v>
      </c>
      <c r="B330" s="4">
        <f>_xlfn.XLOOKUP(F330,'[1]SME09-01_LHM'!$I:$I,'[1]SME09-01_LHM'!$B:$B)</f>
        <v>436</v>
      </c>
      <c r="C330" s="22">
        <f>ROW()-25</f>
        <v>305</v>
      </c>
      <c r="D330" s="16" t="s">
        <v>622</v>
      </c>
      <c r="E330" s="16" t="s">
        <v>959</v>
      </c>
      <c r="F330" s="18" t="s">
        <v>639</v>
      </c>
      <c r="G330" s="18" t="s">
        <v>958</v>
      </c>
      <c r="H330" s="16" t="s">
        <v>8</v>
      </c>
      <c r="I330" s="16" t="s">
        <v>74</v>
      </c>
      <c r="J330" s="188" t="s">
        <v>18</v>
      </c>
      <c r="K330" s="181" t="s">
        <v>18</v>
      </c>
      <c r="L330" s="242"/>
      <c r="M330" s="186"/>
      <c r="N330" s="181" t="s">
        <v>103</v>
      </c>
      <c r="O330" s="7"/>
      <c r="P330" s="105" t="s">
        <v>126</v>
      </c>
      <c r="Q330" s="105" t="s">
        <v>303</v>
      </c>
      <c r="R330" s="105" t="s">
        <v>10</v>
      </c>
      <c r="S330" s="104" t="s">
        <v>302</v>
      </c>
      <c r="T330" s="103" t="s">
        <v>158</v>
      </c>
      <c r="U330" s="103" t="s">
        <v>24</v>
      </c>
      <c r="V330" s="105" t="s">
        <v>24</v>
      </c>
      <c r="W330" s="3" t="s">
        <v>10</v>
      </c>
      <c r="X330" s="3"/>
      <c r="Y330" s="182" t="str">
        <f>_xlfn.LET(_xlpm.v,_xlfn.XLOOKUP(E330,'[1]SME09-01_LHM'!$D:$D,'[1]SME09-01_LHM'!$AL:$AL),IF(_xlpm.v=0,"",_xlpm.v))</f>
        <v/>
      </c>
      <c r="Z330" s="104" t="str">
        <f>_xlfn.LET(_xlpm.v,IF(ISTEXT(Y330),_xlfn.XLOOKUP(Y330,'JP-PINT'!A:A,'JP-PINT'!B:B),""),IF(ISERROR(_xlpm.v),"",_xlpm.v))</f>
        <v/>
      </c>
      <c r="AA330" s="181" t="s">
        <v>24</v>
      </c>
    </row>
    <row r="331" spans="1:27" ht="12.75" customHeight="1">
      <c r="A331" s="4">
        <f>IF(ISTEXT(E331),_xlfn.XLOOKUP(E331,'[1]SME09-01_LHM'!$D:$D,'[1]SME09-01_LHM'!$B:$B))</f>
        <v>437</v>
      </c>
      <c r="B331" s="4">
        <f>_xlfn.XLOOKUP(F331,'[1]SME09-01_LHM'!$I:$I,'[1]SME09-01_LHM'!$B:$B)</f>
        <v>437</v>
      </c>
      <c r="C331" s="22">
        <f>ROW()-25</f>
        <v>306</v>
      </c>
      <c r="D331" s="16" t="s">
        <v>622</v>
      </c>
      <c r="E331" s="16" t="s">
        <v>957</v>
      </c>
      <c r="F331" s="18" t="s">
        <v>956</v>
      </c>
      <c r="G331" s="18" t="s">
        <v>955</v>
      </c>
      <c r="H331" s="16" t="s">
        <v>8</v>
      </c>
      <c r="I331" s="16" t="s">
        <v>74</v>
      </c>
      <c r="J331" s="188" t="s">
        <v>18</v>
      </c>
      <c r="K331" s="181" t="s">
        <v>18</v>
      </c>
      <c r="L331" s="242"/>
      <c r="M331" s="186"/>
      <c r="N331" s="181" t="s">
        <v>27</v>
      </c>
      <c r="P331" s="105" t="s">
        <v>126</v>
      </c>
      <c r="Q331" s="105" t="s">
        <v>954</v>
      </c>
      <c r="R331" s="105" t="s">
        <v>10</v>
      </c>
      <c r="S331" s="104" t="s">
        <v>64</v>
      </c>
      <c r="T331" s="106" t="s">
        <v>63</v>
      </c>
      <c r="U331" s="106" t="s">
        <v>24</v>
      </c>
      <c r="V331" s="105" t="s">
        <v>24</v>
      </c>
      <c r="W331" s="3" t="s">
        <v>10</v>
      </c>
      <c r="Y331" s="182" t="str">
        <f>_xlfn.LET(_xlpm.v,_xlfn.XLOOKUP(E331,'[1]SME09-01_LHM'!$D:$D,'[1]SME09-01_LHM'!$AL:$AL),IF(_xlpm.v=0,"",_xlpm.v))</f>
        <v/>
      </c>
      <c r="Z331" s="104" t="str">
        <f>_xlfn.LET(_xlpm.v,IF(ISTEXT(Y331),_xlfn.XLOOKUP(Y331,'JP-PINT'!A:A,'JP-PINT'!B:B),""),IF(ISERROR(_xlpm.v),"",_xlpm.v))</f>
        <v/>
      </c>
      <c r="AA331" s="181" t="s">
        <v>24</v>
      </c>
    </row>
    <row r="332" spans="1:27" ht="12.75" customHeight="1">
      <c r="A332" s="4">
        <f>IF(ISTEXT(E332),_xlfn.XLOOKUP(E332,'[1]SME09-01_LHM'!$D:$D,'[1]SME09-01_LHM'!$B:$B))</f>
        <v>438</v>
      </c>
      <c r="B332" s="4">
        <f>_xlfn.XLOOKUP(F332,'[1]SME09-01_LHM'!$I:$I,'[1]SME09-01_LHM'!$B:$B)</f>
        <v>438</v>
      </c>
      <c r="C332" s="22">
        <f>ROW()-25</f>
        <v>307</v>
      </c>
      <c r="D332" s="16" t="s">
        <v>622</v>
      </c>
      <c r="E332" s="16" t="s">
        <v>953</v>
      </c>
      <c r="F332" s="18" t="s">
        <v>633</v>
      </c>
      <c r="G332" s="18" t="s">
        <v>952</v>
      </c>
      <c r="H332" s="16" t="s">
        <v>8</v>
      </c>
      <c r="I332" s="16" t="s">
        <v>143</v>
      </c>
      <c r="J332" s="188" t="s">
        <v>18</v>
      </c>
      <c r="K332" s="181" t="s">
        <v>18</v>
      </c>
      <c r="L332" s="242"/>
      <c r="M332" s="186"/>
      <c r="N332" s="181" t="s">
        <v>27</v>
      </c>
      <c r="P332" s="105" t="s">
        <v>126</v>
      </c>
      <c r="Q332" s="102" t="s">
        <v>298</v>
      </c>
      <c r="R332" s="105" t="s">
        <v>10</v>
      </c>
      <c r="S332" s="104" t="s">
        <v>64</v>
      </c>
      <c r="T332" s="106" t="s">
        <v>63</v>
      </c>
      <c r="U332" s="106" t="s">
        <v>24</v>
      </c>
      <c r="V332" s="105" t="s">
        <v>24</v>
      </c>
      <c r="W332" s="3" t="s">
        <v>10</v>
      </c>
      <c r="Y332" s="182" t="str">
        <f>_xlfn.LET(_xlpm.v,_xlfn.XLOOKUP(E332,'[1]SME09-01_LHM'!$D:$D,'[1]SME09-01_LHM'!$AL:$AL),IF(_xlpm.v=0,"",_xlpm.v))</f>
        <v/>
      </c>
      <c r="Z332" s="104" t="str">
        <f>_xlfn.LET(_xlpm.v,IF(ISTEXT(Y332),_xlfn.XLOOKUP(Y332,'JP-PINT'!A:A,'JP-PINT'!B:B),""),IF(ISERROR(_xlpm.v),"",_xlpm.v))</f>
        <v/>
      </c>
      <c r="AA332" s="181" t="s">
        <v>24</v>
      </c>
    </row>
    <row r="333" spans="1:27" s="6" customFormat="1" ht="12.75" customHeight="1">
      <c r="A333" s="4">
        <f>IF(ISTEXT(E333),_xlfn.XLOOKUP(E333,'[1]SME09-01_LHM'!$D:$D,'[1]SME09-01_LHM'!$B:$B))</f>
        <v>439</v>
      </c>
      <c r="B333" s="4">
        <f>_xlfn.XLOOKUP(F333,'[1]SME09-01_LHM'!$I:$I,'[1]SME09-01_LHM'!$B:$B)</f>
        <v>439</v>
      </c>
      <c r="C333" s="22">
        <f>ROW()-25</f>
        <v>308</v>
      </c>
      <c r="D333" s="26" t="s">
        <v>622</v>
      </c>
      <c r="E333" s="89" t="s">
        <v>951</v>
      </c>
      <c r="F333" s="93" t="s">
        <v>2745</v>
      </c>
      <c r="G333" s="25" t="s">
        <v>950</v>
      </c>
      <c r="H333" s="26" t="s">
        <v>28</v>
      </c>
      <c r="I333" s="26" t="s">
        <v>19</v>
      </c>
      <c r="J333" s="201" t="s">
        <v>66</v>
      </c>
      <c r="K333" s="199" t="s">
        <v>66</v>
      </c>
      <c r="L333" s="245"/>
      <c r="M333" s="189"/>
      <c r="N333" s="181" t="s">
        <v>103</v>
      </c>
      <c r="O333" s="7"/>
      <c r="P333" s="105" t="s">
        <v>126</v>
      </c>
      <c r="Q333" s="105" t="s">
        <v>949</v>
      </c>
      <c r="R333" s="105" t="s">
        <v>25</v>
      </c>
      <c r="S333" s="104"/>
      <c r="T333" s="106" t="s">
        <v>24</v>
      </c>
      <c r="U333" s="106" t="s">
        <v>24</v>
      </c>
      <c r="V333" s="105" t="s">
        <v>24</v>
      </c>
      <c r="W333" s="3" t="s">
        <v>25</v>
      </c>
      <c r="X333" s="3"/>
      <c r="Y333" s="182" t="str">
        <f>_xlfn.LET(_xlpm.v,_xlfn.XLOOKUP(E333,'[1]SME09-01_LHM'!$D:$D,'[1]SME09-01_LHM'!$AL:$AL),IF(_xlpm.v=0,"",_xlpm.v))</f>
        <v/>
      </c>
      <c r="Z333" s="104" t="str">
        <f>_xlfn.LET(_xlpm.v,IF(ISTEXT(Y333),_xlfn.XLOOKUP(Y333,'JP-PINT'!A:A,'JP-PINT'!B:B),""),IF(ISERROR(_xlpm.v),"",_xlpm.v))</f>
        <v/>
      </c>
      <c r="AA333" s="181" t="s">
        <v>24</v>
      </c>
    </row>
    <row r="334" spans="1:27" s="137" customFormat="1" ht="12.75" customHeight="1">
      <c r="A334" s="4">
        <f>IF(ISTEXT(E334),_xlfn.XLOOKUP(E334,'[1]SME09-01_LHM'!$D:$D,'[1]SME09-01_LHM'!$B:$B))</f>
        <v>441</v>
      </c>
      <c r="B334" s="4">
        <f>_xlfn.XLOOKUP(F334,'[1]SME09-01_LHM'!$I:$I,'[1]SME09-01_LHM'!$B:$B)</f>
        <v>441</v>
      </c>
      <c r="C334" s="102">
        <f>ROW()-25</f>
        <v>309</v>
      </c>
      <c r="D334" s="103" t="s">
        <v>622</v>
      </c>
      <c r="E334" s="103" t="s">
        <v>948</v>
      </c>
      <c r="F334" s="105" t="s">
        <v>947</v>
      </c>
      <c r="G334" s="105" t="s">
        <v>946</v>
      </c>
      <c r="H334" s="103" t="s">
        <v>31</v>
      </c>
      <c r="I334" s="103" t="s">
        <v>19</v>
      </c>
      <c r="J334" s="222" t="s">
        <v>66</v>
      </c>
      <c r="K334" s="223" t="s">
        <v>66</v>
      </c>
      <c r="L334" s="224"/>
      <c r="M334" s="193" t="s">
        <v>618</v>
      </c>
      <c r="N334" s="223" t="s">
        <v>46</v>
      </c>
      <c r="O334" s="136"/>
      <c r="P334" s="105" t="s">
        <v>126</v>
      </c>
      <c r="Q334" s="105" t="s">
        <v>327</v>
      </c>
      <c r="R334" s="105" t="s">
        <v>10</v>
      </c>
      <c r="S334" s="104"/>
      <c r="T334" s="106" t="s">
        <v>24</v>
      </c>
      <c r="U334" s="106" t="s">
        <v>24</v>
      </c>
      <c r="V334" s="105" t="s">
        <v>24</v>
      </c>
      <c r="W334" s="107" t="s">
        <v>10</v>
      </c>
      <c r="X334" s="107"/>
      <c r="Y334" s="192" t="str">
        <f>_xlfn.LET(_xlpm.v,_xlfn.XLOOKUP(E334,'[1]SME09-01_LHM'!$D:$D,'[1]SME09-01_LHM'!$AL:$AL),IF(_xlpm.v=0,"",_xlpm.v))</f>
        <v>IBT-015</v>
      </c>
      <c r="Z334" s="104" t="str">
        <f>_xlfn.LET(_xlpm.v,IF(ISTEXT(Y334),_xlfn.XLOOKUP(Y334,'JP-PINT'!A:A,'JP-PINT'!B:B),""),IF(ISERROR(_xlpm.v),"",_xlpm.v))</f>
        <v>Receiving advice reference</v>
      </c>
      <c r="AA334" s="138" t="s">
        <v>8</v>
      </c>
    </row>
    <row r="335" spans="1:27" ht="12.75" customHeight="1">
      <c r="A335" s="4" t="e">
        <f>IF(ISTEXT(E335),_xlfn.XLOOKUP(E335,'[1]SME09-01_LHM'!$D:$D,'[1]SME09-01_LHM'!$B:$B))</f>
        <v>#N/A</v>
      </c>
      <c r="B335" s="4" t="e">
        <f>_xlfn.XLOOKUP(F335,'[1]SME09-01_LHM'!$I:$I,'[1]SME09-01_LHM'!$B:$B)</f>
        <v>#N/A</v>
      </c>
      <c r="C335" s="37">
        <f>ROW()-25</f>
        <v>310</v>
      </c>
      <c r="D335" s="35" t="s">
        <v>736</v>
      </c>
      <c r="E335" s="35" t="s">
        <v>944</v>
      </c>
      <c r="F335" s="37" t="s">
        <v>943</v>
      </c>
      <c r="G335" s="37" t="s">
        <v>942</v>
      </c>
      <c r="H335" s="35" t="s">
        <v>8</v>
      </c>
      <c r="I335" s="39" t="s">
        <v>227</v>
      </c>
      <c r="J335" s="38" t="s">
        <v>505</v>
      </c>
      <c r="K335" s="35" t="s">
        <v>505</v>
      </c>
      <c r="L335" s="242"/>
      <c r="M335" s="19"/>
      <c r="N335" s="35" t="s">
        <v>27</v>
      </c>
      <c r="O335" s="206"/>
      <c r="P335" s="148" t="s">
        <v>941</v>
      </c>
      <c r="Q335" s="148" t="s">
        <v>523</v>
      </c>
      <c r="R335" s="148" t="s">
        <v>10</v>
      </c>
      <c r="S335" s="148"/>
      <c r="T335" s="149"/>
      <c r="U335" s="149"/>
      <c r="V335" s="130"/>
      <c r="W335" s="3" t="s">
        <v>10</v>
      </c>
      <c r="Y335" s="182"/>
      <c r="Z335" s="104" t="str">
        <f>_xlfn.LET(_xlpm.v,IF(ISTEXT(Y335),_xlfn.XLOOKUP(Y335,'JP-PINT'!A:A,'JP-PINT'!B:B),""),IF(ISERROR(_xlpm.v),"",_xlpm.v))</f>
        <v/>
      </c>
      <c r="AA335" s="35"/>
    </row>
    <row r="336" spans="1:27" s="45" customFormat="1" ht="12.75" customHeight="1">
      <c r="A336" s="4" t="e">
        <f>IF(ISTEXT(E336),_xlfn.XLOOKUP(E336,'[1]SME09-01_LHM'!$D:$D,'[1]SME09-01_LHM'!$B:$B))</f>
        <v>#N/A</v>
      </c>
      <c r="B336" s="4" t="e">
        <f>_xlfn.XLOOKUP(F336,'[1]SME09-01_LHM'!$I:$I,'[1]SME09-01_LHM'!$B:$B)</f>
        <v>#N/A</v>
      </c>
      <c r="C336" s="37">
        <f>ROW()-25</f>
        <v>311</v>
      </c>
      <c r="D336" s="35" t="s">
        <v>736</v>
      </c>
      <c r="E336" s="35" t="s">
        <v>940</v>
      </c>
      <c r="F336" s="37" t="s">
        <v>939</v>
      </c>
      <c r="G336" s="37" t="s">
        <v>938</v>
      </c>
      <c r="H336" s="35" t="s">
        <v>8</v>
      </c>
      <c r="I336" s="39" t="s">
        <v>127</v>
      </c>
      <c r="J336" s="197" t="s">
        <v>18</v>
      </c>
      <c r="K336" s="197" t="s">
        <v>18</v>
      </c>
      <c r="L336" s="279"/>
      <c r="M336" s="186"/>
      <c r="N336" s="35" t="s">
        <v>27</v>
      </c>
      <c r="O336" s="280"/>
      <c r="P336" s="148" t="s">
        <v>937</v>
      </c>
      <c r="Q336" s="148" t="s">
        <v>322</v>
      </c>
      <c r="R336" s="148" t="s">
        <v>10</v>
      </c>
      <c r="S336" s="130"/>
      <c r="T336" s="153"/>
      <c r="U336" s="153" t="s">
        <v>24</v>
      </c>
      <c r="V336" s="148" t="s">
        <v>24</v>
      </c>
      <c r="W336" s="203" t="s">
        <v>10</v>
      </c>
      <c r="X336" s="203"/>
      <c r="Y336" s="182"/>
      <c r="Z336" s="104" t="str">
        <f>_xlfn.LET(_xlpm.v,IF(ISTEXT(Y336),_xlfn.XLOOKUP(Y336,'JP-PINT'!A:A,'JP-PINT'!B:B),""),IF(ISERROR(_xlpm.v),"",_xlpm.v))</f>
        <v/>
      </c>
      <c r="AA336" s="35" t="s">
        <v>24</v>
      </c>
    </row>
    <row r="337" spans="1:27" s="281" customFormat="1" ht="12.75" customHeight="1">
      <c r="A337" s="4">
        <f>IF(ISTEXT(E337),_xlfn.XLOOKUP(E337,'[1]SME09-01_LHM'!$D:$D,'[1]SME09-01_LHM'!$B:$B))</f>
        <v>444</v>
      </c>
      <c r="B337" s="4">
        <f>_xlfn.XLOOKUP(F337,'[1]SME09-01_LHM'!$I:$I,'[1]SME09-01_LHM'!$B:$B)</f>
        <v>444</v>
      </c>
      <c r="C337" s="22">
        <f>ROW()-25</f>
        <v>312</v>
      </c>
      <c r="D337" s="16" t="s">
        <v>622</v>
      </c>
      <c r="E337" s="16" t="s">
        <v>936</v>
      </c>
      <c r="F337" s="18" t="s">
        <v>935</v>
      </c>
      <c r="G337" s="18" t="s">
        <v>934</v>
      </c>
      <c r="H337" s="16" t="s">
        <v>8</v>
      </c>
      <c r="I337" s="70" t="s">
        <v>19</v>
      </c>
      <c r="J337" s="75" t="s">
        <v>18</v>
      </c>
      <c r="K337" s="74" t="s">
        <v>18</v>
      </c>
      <c r="L337" s="73"/>
      <c r="M337" s="72"/>
      <c r="N337" s="181" t="s">
        <v>27</v>
      </c>
      <c r="O337" s="7"/>
      <c r="P337" s="105" t="s">
        <v>126</v>
      </c>
      <c r="Q337" s="105" t="s">
        <v>307</v>
      </c>
      <c r="R337" s="105" t="s">
        <v>10</v>
      </c>
      <c r="S337" s="198"/>
      <c r="T337" s="70" t="s">
        <v>24</v>
      </c>
      <c r="U337" s="70" t="s">
        <v>24</v>
      </c>
      <c r="V337" s="66" t="s">
        <v>24</v>
      </c>
      <c r="W337" s="3" t="s">
        <v>10</v>
      </c>
      <c r="X337" s="3"/>
      <c r="Y337" s="182" t="str">
        <f>_xlfn.LET(_xlpm.v,_xlfn.XLOOKUP(E337,'[1]SME09-01_LHM'!$D:$D,'[1]SME09-01_LHM'!$AL:$AL),IF(_xlpm.v=0,"",_xlpm.v))</f>
        <v/>
      </c>
      <c r="Z337" s="104" t="str">
        <f>_xlfn.LET(_xlpm.v,IF(ISTEXT(Y337),_xlfn.XLOOKUP(Y337,'JP-PINT'!A:A,'JP-PINT'!B:B),""),IF(ISERROR(_xlpm.v),"",_xlpm.v))</f>
        <v/>
      </c>
      <c r="AA337" s="181" t="s">
        <v>24</v>
      </c>
    </row>
    <row r="338" spans="1:27" s="6" customFormat="1" ht="12.75" customHeight="1">
      <c r="A338" s="4" t="e">
        <f>IF(ISTEXT(E338),_xlfn.XLOOKUP(E338,'[1]SME09-01_LHM'!$D:$D,'[1]SME09-01_LHM'!$B:$B))</f>
        <v>#N/A</v>
      </c>
      <c r="B338" s="4">
        <f>_xlfn.XLOOKUP(F338,'[1]SME09-01_LHM'!$I:$I,'[1]SME09-01_LHM'!$B:$B)</f>
        <v>436</v>
      </c>
      <c r="C338" s="22">
        <f>ROW()-25</f>
        <v>313</v>
      </c>
      <c r="D338" s="16" t="s">
        <v>622</v>
      </c>
      <c r="E338" s="16" t="s">
        <v>933</v>
      </c>
      <c r="F338" s="18" t="s">
        <v>639</v>
      </c>
      <c r="G338" s="18" t="s">
        <v>932</v>
      </c>
      <c r="H338" s="16" t="s">
        <v>8</v>
      </c>
      <c r="I338" s="16" t="s">
        <v>19</v>
      </c>
      <c r="J338" s="181" t="s">
        <v>18</v>
      </c>
      <c r="K338" s="181" t="s">
        <v>18</v>
      </c>
      <c r="L338" s="242"/>
      <c r="M338" s="187"/>
      <c r="N338" s="181" t="s">
        <v>103</v>
      </c>
      <c r="O338" s="7"/>
      <c r="P338" s="105" t="s">
        <v>126</v>
      </c>
      <c r="Q338" s="105" t="s">
        <v>303</v>
      </c>
      <c r="R338" s="105" t="s">
        <v>10</v>
      </c>
      <c r="S338" s="104" t="s">
        <v>302</v>
      </c>
      <c r="T338" s="103" t="s">
        <v>158</v>
      </c>
      <c r="U338" s="103" t="s">
        <v>24</v>
      </c>
      <c r="V338" s="105" t="s">
        <v>24</v>
      </c>
      <c r="W338" s="3" t="s">
        <v>10</v>
      </c>
      <c r="X338" s="3"/>
      <c r="Y338" s="182"/>
      <c r="Z338" s="104" t="str">
        <f>_xlfn.LET(_xlpm.v,IF(ISTEXT(Y338),_xlfn.XLOOKUP(Y338,'JP-PINT'!A:A,'JP-PINT'!B:B),""),IF(ISERROR(_xlpm.v),"",_xlpm.v))</f>
        <v/>
      </c>
      <c r="AA338" s="181" t="s">
        <v>24</v>
      </c>
    </row>
    <row r="339" spans="1:27" ht="12.75" customHeight="1">
      <c r="A339" s="4" t="e">
        <f>IF(ISTEXT(E339),_xlfn.XLOOKUP(E339,'[1]SME09-01_LHM'!$D:$D,'[1]SME09-01_LHM'!$B:$B))</f>
        <v>#N/A</v>
      </c>
      <c r="B339" s="4">
        <f>_xlfn.XLOOKUP(F339,'[1]SME09-01_LHM'!$I:$I,'[1]SME09-01_LHM'!$B:$B)</f>
        <v>438</v>
      </c>
      <c r="C339" s="22">
        <f>ROW()-25</f>
        <v>314</v>
      </c>
      <c r="D339" s="16" t="s">
        <v>622</v>
      </c>
      <c r="E339" s="16" t="s">
        <v>931</v>
      </c>
      <c r="F339" s="18" t="s">
        <v>633</v>
      </c>
      <c r="G339" s="18" t="s">
        <v>930</v>
      </c>
      <c r="H339" s="16" t="s">
        <v>8</v>
      </c>
      <c r="I339" s="16" t="s">
        <v>19</v>
      </c>
      <c r="J339" s="188" t="s">
        <v>18</v>
      </c>
      <c r="K339" s="181" t="s">
        <v>18</v>
      </c>
      <c r="L339" s="242"/>
      <c r="M339" s="186"/>
      <c r="N339" s="181" t="s">
        <v>27</v>
      </c>
      <c r="P339" s="105" t="s">
        <v>126</v>
      </c>
      <c r="Q339" s="102" t="s">
        <v>298</v>
      </c>
      <c r="R339" s="105" t="s">
        <v>10</v>
      </c>
      <c r="S339" s="104" t="s">
        <v>64</v>
      </c>
      <c r="T339" s="106" t="s">
        <v>63</v>
      </c>
      <c r="U339" s="106" t="s">
        <v>24</v>
      </c>
      <c r="V339" s="105" t="s">
        <v>24</v>
      </c>
      <c r="W339" s="3" t="s">
        <v>10</v>
      </c>
      <c r="Y339" s="182"/>
      <c r="Z339" s="104" t="str">
        <f>_xlfn.LET(_xlpm.v,IF(ISTEXT(Y339),_xlfn.XLOOKUP(Y339,'JP-PINT'!A:A,'JP-PINT'!B:B),""),IF(ISERROR(_xlpm.v),"",_xlpm.v))</f>
        <v/>
      </c>
      <c r="AA339" s="181" t="s">
        <v>24</v>
      </c>
    </row>
    <row r="340" spans="1:27" s="6" customFormat="1" ht="12.75" customHeight="1">
      <c r="A340" s="4">
        <f>IF(ISTEXT(E340),_xlfn.XLOOKUP(E340,'[1]SME09-01_LHM'!$D:$D,'[1]SME09-01_LHM'!$B:$B))</f>
        <v>447</v>
      </c>
      <c r="B340" s="4">
        <f>_xlfn.XLOOKUP(F340,'[1]SME09-01_LHM'!$I:$I,'[1]SME09-01_LHM'!$B:$B)</f>
        <v>447</v>
      </c>
      <c r="C340" s="22">
        <f>ROW()-25</f>
        <v>315</v>
      </c>
      <c r="D340" s="26" t="s">
        <v>622</v>
      </c>
      <c r="E340" s="26" t="s">
        <v>929</v>
      </c>
      <c r="F340" s="93" t="s">
        <v>2746</v>
      </c>
      <c r="G340" s="25" t="s">
        <v>928</v>
      </c>
      <c r="H340" s="26" t="s">
        <v>8</v>
      </c>
      <c r="I340" s="26" t="s">
        <v>143</v>
      </c>
      <c r="J340" s="201" t="s">
        <v>79</v>
      </c>
      <c r="K340" s="199" t="s">
        <v>79</v>
      </c>
      <c r="L340" s="199" t="s">
        <v>79</v>
      </c>
      <c r="M340" s="189"/>
      <c r="N340" s="181" t="s">
        <v>27</v>
      </c>
      <c r="O340" s="7"/>
      <c r="P340" s="105" t="s">
        <v>126</v>
      </c>
      <c r="Q340" s="105" t="s">
        <v>927</v>
      </c>
      <c r="R340" s="105" t="s">
        <v>25</v>
      </c>
      <c r="S340" s="104"/>
      <c r="T340" s="106" t="s">
        <v>103</v>
      </c>
      <c r="U340" s="106" t="s">
        <v>24</v>
      </c>
      <c r="V340" s="105" t="s">
        <v>24</v>
      </c>
      <c r="W340" s="3" t="s">
        <v>25</v>
      </c>
      <c r="X340" s="3" t="s">
        <v>25</v>
      </c>
      <c r="Y340" s="182" t="str">
        <f>_xlfn.LET(_xlpm.v,_xlfn.XLOOKUP(E340,'[1]SME09-01_LHM'!$D:$D,'[1]SME09-01_LHM'!$AL:$AL),IF(_xlpm.v=0,"",_xlpm.v))</f>
        <v/>
      </c>
      <c r="Z340" s="104" t="str">
        <f>_xlfn.LET(_xlpm.v,IF(ISTEXT(Y340),_xlfn.XLOOKUP(Y340,'JP-PINT'!A:A,'JP-PINT'!B:B),""),IF(ISERROR(_xlpm.v),"",_xlpm.v))</f>
        <v/>
      </c>
      <c r="AA340" s="181" t="s">
        <v>24</v>
      </c>
    </row>
    <row r="341" spans="1:27" s="137" customFormat="1" ht="12.75" customHeight="1">
      <c r="A341" s="4">
        <f>IF(ISTEXT(E341),_xlfn.XLOOKUP(E341,'[1]SME09-01_LHM'!$D:$D,'[1]SME09-01_LHM'!$B:$B))</f>
        <v>449</v>
      </c>
      <c r="B341" s="4">
        <f>_xlfn.XLOOKUP(F341,'[1]SME09-01_LHM'!$I:$I,'[1]SME09-01_LHM'!$B:$B)</f>
        <v>449</v>
      </c>
      <c r="C341" s="102">
        <f>ROW()-25</f>
        <v>316</v>
      </c>
      <c r="D341" s="103" t="s">
        <v>622</v>
      </c>
      <c r="E341" s="103" t="s">
        <v>926</v>
      </c>
      <c r="F341" s="104" t="s">
        <v>925</v>
      </c>
      <c r="G341" s="104" t="s">
        <v>924</v>
      </c>
      <c r="H341" s="103" t="s">
        <v>8</v>
      </c>
      <c r="I341" s="103" t="s">
        <v>143</v>
      </c>
      <c r="J341" s="222" t="s">
        <v>18</v>
      </c>
      <c r="K341" s="223" t="s">
        <v>18</v>
      </c>
      <c r="L341" s="223" t="s">
        <v>18</v>
      </c>
      <c r="M341" s="193"/>
      <c r="N341" s="223" t="s">
        <v>27</v>
      </c>
      <c r="O341" s="136"/>
      <c r="P341" s="105" t="s">
        <v>126</v>
      </c>
      <c r="Q341" s="105" t="s">
        <v>923</v>
      </c>
      <c r="R341" s="105" t="s">
        <v>10</v>
      </c>
      <c r="S341" s="104" t="s">
        <v>64</v>
      </c>
      <c r="T341" s="106" t="s">
        <v>63</v>
      </c>
      <c r="U341" s="106" t="s">
        <v>24</v>
      </c>
      <c r="V341" s="105" t="s">
        <v>24</v>
      </c>
      <c r="W341" s="107" t="s">
        <v>10</v>
      </c>
      <c r="X341" s="107" t="s">
        <v>10</v>
      </c>
      <c r="Y341" s="192" t="str">
        <f>_xlfn.LET(_xlpm.v,_xlfn.XLOOKUP(E341,'[1]SME09-01_LHM'!$D:$D,'[1]SME09-01_LHM'!$AL:$AL),IF(_xlpm.v=0,"",_xlpm.v))</f>
        <v/>
      </c>
      <c r="Z341" s="104" t="str">
        <f>_xlfn.LET(_xlpm.v,IF(ISTEXT(Y341),_xlfn.XLOOKUP(Y341,'JP-PINT'!A:A,'JP-PINT'!B:B),""),IF(ISERROR(_xlpm.v),"",_xlpm.v))</f>
        <v/>
      </c>
      <c r="AA341" s="223" t="s">
        <v>24</v>
      </c>
    </row>
    <row r="342" spans="1:27" ht="12.75" customHeight="1">
      <c r="A342" s="4">
        <f>IF(ISTEXT(E342),_xlfn.XLOOKUP(E342,'[1]SME09-01_LHM'!$D:$D,'[1]SME09-01_LHM'!$B:$B))</f>
        <v>476</v>
      </c>
      <c r="B342" s="4">
        <f>_xlfn.XLOOKUP(F342,'[1]SME09-01_LHM'!$I:$I,'[1]SME09-01_LHM'!$B:$B)</f>
        <v>476</v>
      </c>
      <c r="C342" s="22">
        <f>ROW()-25</f>
        <v>317</v>
      </c>
      <c r="D342" s="26" t="s">
        <v>622</v>
      </c>
      <c r="E342" s="26" t="s">
        <v>922</v>
      </c>
      <c r="F342" s="93" t="s">
        <v>2747</v>
      </c>
      <c r="G342" s="25" t="s">
        <v>921</v>
      </c>
      <c r="H342" s="26" t="s">
        <v>43</v>
      </c>
      <c r="I342" s="26" t="s">
        <v>143</v>
      </c>
      <c r="J342" s="201" t="s">
        <v>18</v>
      </c>
      <c r="K342" s="199" t="s">
        <v>18</v>
      </c>
      <c r="L342" s="199" t="s">
        <v>18</v>
      </c>
      <c r="M342" s="189"/>
      <c r="N342" s="181" t="s">
        <v>221</v>
      </c>
      <c r="P342" s="105" t="s">
        <v>126</v>
      </c>
      <c r="Q342" s="105" t="s">
        <v>884</v>
      </c>
      <c r="R342" s="105" t="s">
        <v>25</v>
      </c>
      <c r="S342" s="104"/>
      <c r="T342" s="106" t="s">
        <v>103</v>
      </c>
      <c r="U342" s="106" t="s">
        <v>24</v>
      </c>
      <c r="V342" s="105" t="s">
        <v>24</v>
      </c>
      <c r="W342" s="3" t="s">
        <v>25</v>
      </c>
      <c r="X342" s="3" t="s">
        <v>25</v>
      </c>
      <c r="Y342" s="182" t="str">
        <f>_xlfn.LET(_xlpm.v,_xlfn.XLOOKUP(E342,'[1]SME09-01_LHM'!$D:$D,'[1]SME09-01_LHM'!$AL:$AL),IF(_xlpm.v=0,"",_xlpm.v))</f>
        <v>IBG-20</v>
      </c>
      <c r="Z342" s="104" t="str">
        <f>_xlfn.LET(_xlpm.v,IF(ISTEXT(Y342),_xlfn.XLOOKUP(Y342,'JP-PINT'!A:A,'JP-PINT'!B:B),""),IF(ISERROR(_xlpm.v),"",_xlpm.v))</f>
        <v>DOCUMENT LEVEL ALLOWANCES</v>
      </c>
      <c r="AA342" s="23" t="s">
        <v>43</v>
      </c>
    </row>
    <row r="343" spans="1:27" s="137" customFormat="1" ht="12.75" customHeight="1">
      <c r="A343" s="4" t="e">
        <f>IF(ISTEXT(E343),_xlfn.XLOOKUP(E343,'[1]SME09-01_LHM'!$D:$D,'[1]SME09-01_LHM'!$B:$B))</f>
        <v>#N/A</v>
      </c>
      <c r="B343" s="4" t="e">
        <f>_xlfn.XLOOKUP(F343,'[1]SME09-01_LHM'!$I:$I,'[1]SME09-01_LHM'!$B:$B)</f>
        <v>#N/A</v>
      </c>
      <c r="C343" s="102">
        <f>ROW()-25</f>
        <v>318</v>
      </c>
      <c r="D343" s="103" t="s">
        <v>622</v>
      </c>
      <c r="E343" s="103" t="s">
        <v>919</v>
      </c>
      <c r="F343" s="105" t="s">
        <v>918</v>
      </c>
      <c r="G343" s="104" t="s">
        <v>917</v>
      </c>
      <c r="H343" s="103" t="s">
        <v>31</v>
      </c>
      <c r="I343" s="103" t="s">
        <v>143</v>
      </c>
      <c r="J343" s="222" t="s">
        <v>18</v>
      </c>
      <c r="K343" s="223" t="s">
        <v>18</v>
      </c>
      <c r="L343" s="223" t="s">
        <v>18</v>
      </c>
      <c r="M343" s="193"/>
      <c r="N343" s="223" t="s">
        <v>588</v>
      </c>
      <c r="O343" s="136"/>
      <c r="P343" s="105" t="s">
        <v>126</v>
      </c>
      <c r="Q343" s="105" t="s">
        <v>194</v>
      </c>
      <c r="R343" s="105" t="s">
        <v>10</v>
      </c>
      <c r="S343" s="104"/>
      <c r="T343" s="106" t="s">
        <v>158</v>
      </c>
      <c r="U343" s="106" t="s">
        <v>193</v>
      </c>
      <c r="V343" s="105" t="s">
        <v>218</v>
      </c>
      <c r="W343" s="107" t="s">
        <v>10</v>
      </c>
      <c r="X343" s="107" t="s">
        <v>10</v>
      </c>
      <c r="Y343" s="192"/>
      <c r="Z343" s="104" t="str">
        <f>_xlfn.LET(_xlpm.v,IF(ISTEXT(Y343),_xlfn.XLOOKUP(Y343,'JP-PINT'!A:A,'JP-PINT'!B:B),""),IF(ISERROR(_xlpm.v),"",_xlpm.v))</f>
        <v/>
      </c>
      <c r="AA343" s="223" t="s">
        <v>24</v>
      </c>
    </row>
    <row r="344" spans="1:27" ht="12.75" customHeight="1">
      <c r="A344" s="4">
        <f>IF(ISTEXT(E344),_xlfn.XLOOKUP(E344,'[1]SME09-01_LHM'!$D:$D,'[1]SME09-01_LHM'!$B:$B))</f>
        <v>479</v>
      </c>
      <c r="B344" s="4">
        <f>_xlfn.XLOOKUP(F344,'[1]SME09-01_LHM'!$I:$I,'[1]SME09-01_LHM'!$B:$B)</f>
        <v>479</v>
      </c>
      <c r="C344" s="22">
        <f>ROW()-25</f>
        <v>319</v>
      </c>
      <c r="D344" s="16" t="s">
        <v>622</v>
      </c>
      <c r="E344" s="16" t="s">
        <v>916</v>
      </c>
      <c r="F344" s="18" t="s">
        <v>915</v>
      </c>
      <c r="G344" s="17" t="s">
        <v>914</v>
      </c>
      <c r="H344" s="16" t="s">
        <v>8</v>
      </c>
      <c r="I344" s="16" t="s">
        <v>19</v>
      </c>
      <c r="J344" s="188" t="s">
        <v>18</v>
      </c>
      <c r="K344" s="181" t="s">
        <v>18</v>
      </c>
      <c r="L344" s="181" t="s">
        <v>18</v>
      </c>
      <c r="M344" s="186"/>
      <c r="N344" s="181" t="s">
        <v>46</v>
      </c>
      <c r="P344" s="105" t="s">
        <v>126</v>
      </c>
      <c r="Q344" s="105" t="s">
        <v>188</v>
      </c>
      <c r="R344" s="105" t="s">
        <v>10</v>
      </c>
      <c r="S344" s="104"/>
      <c r="T344" s="106" t="s">
        <v>24</v>
      </c>
      <c r="U344" s="106" t="s">
        <v>24</v>
      </c>
      <c r="V344" s="104" t="s">
        <v>24</v>
      </c>
      <c r="W344" s="3" t="s">
        <v>10</v>
      </c>
      <c r="X344" s="3" t="s">
        <v>10</v>
      </c>
      <c r="Y344" s="182" t="str">
        <f>_xlfn.LET(_xlpm.v,_xlfn.XLOOKUP(E344,'[1]SME09-01_LHM'!$D:$D,'[1]SME09-01_LHM'!$AL:$AL),IF(_xlpm.v=0,"",_xlpm.v))</f>
        <v>IBT-094</v>
      </c>
      <c r="Z344" s="104" t="str">
        <f>_xlfn.LET(_xlpm.v,IF(ISTEXT(Y344),_xlfn.XLOOKUP(Y344,'JP-PINT'!A:A,'JP-PINT'!B:B),""),IF(ISERROR(_xlpm.v),"",_xlpm.v))</f>
        <v>&gt; Document level allowance percentage</v>
      </c>
      <c r="AA344" s="23" t="s">
        <v>8</v>
      </c>
    </row>
    <row r="345" spans="1:27" ht="12.75" customHeight="1">
      <c r="A345" s="4">
        <f>IF(ISTEXT(E345),_xlfn.XLOOKUP(E345,'[1]SME09-01_LHM'!$D:$D,'[1]SME09-01_LHM'!$B:$B))</f>
        <v>480</v>
      </c>
      <c r="B345" s="4">
        <f>_xlfn.XLOOKUP(F345,'[1]SME09-01_LHM'!$I:$I,'[1]SME09-01_LHM'!$B:$B)</f>
        <v>480</v>
      </c>
      <c r="C345" s="22">
        <f>ROW()-25</f>
        <v>320</v>
      </c>
      <c r="D345" s="16" t="s">
        <v>622</v>
      </c>
      <c r="E345" s="16" t="s">
        <v>912</v>
      </c>
      <c r="F345" s="18" t="s">
        <v>911</v>
      </c>
      <c r="G345" s="17" t="s">
        <v>910</v>
      </c>
      <c r="H345" s="16" t="s">
        <v>8</v>
      </c>
      <c r="I345" s="16" t="s">
        <v>19</v>
      </c>
      <c r="J345" s="188" t="s">
        <v>18</v>
      </c>
      <c r="K345" s="181" t="s">
        <v>18</v>
      </c>
      <c r="L345" s="181" t="s">
        <v>18</v>
      </c>
      <c r="M345" s="186" t="s">
        <v>618</v>
      </c>
      <c r="N345" s="181" t="s">
        <v>183</v>
      </c>
      <c r="P345" s="105" t="s">
        <v>126</v>
      </c>
      <c r="Q345" s="105" t="s">
        <v>182</v>
      </c>
      <c r="R345" s="105" t="s">
        <v>10</v>
      </c>
      <c r="S345" s="104"/>
      <c r="T345" s="106"/>
      <c r="U345" s="106" t="s">
        <v>24</v>
      </c>
      <c r="V345" s="104" t="s">
        <v>24</v>
      </c>
      <c r="W345" s="3" t="s">
        <v>10</v>
      </c>
      <c r="X345" s="3" t="s">
        <v>10</v>
      </c>
      <c r="Y345" s="182" t="str">
        <f>_xlfn.LET(_xlpm.v,_xlfn.XLOOKUP(E345,'[1]SME09-01_LHM'!$D:$D,'[1]SME09-01_LHM'!$AL:$AL),IF(_xlpm.v=0,"",_xlpm.v))</f>
        <v>IBT-092</v>
      </c>
      <c r="Z345" s="104" t="str">
        <f>_xlfn.LET(_xlpm.v,IF(ISTEXT(Y345),_xlfn.XLOOKUP(Y345,'JP-PINT'!A:A,'JP-PINT'!B:B),""),IF(ISERROR(_xlpm.v),"",_xlpm.v))</f>
        <v>&gt; Document level allowance amount</v>
      </c>
      <c r="AA345" s="23" t="s">
        <v>31</v>
      </c>
    </row>
    <row r="346" spans="1:27" ht="12.75" customHeight="1">
      <c r="A346" s="4">
        <f>IF(ISTEXT(E346),_xlfn.XLOOKUP(E346,'[1]SME09-01_LHM'!$D:$D,'[1]SME09-01_LHM'!$B:$B))</f>
        <v>481</v>
      </c>
      <c r="B346" s="4">
        <f>_xlfn.XLOOKUP(F346,'[1]SME09-01_LHM'!$I:$I,'[1]SME09-01_LHM'!$B:$B)</f>
        <v>481</v>
      </c>
      <c r="C346" s="22">
        <f>ROW()-25</f>
        <v>321</v>
      </c>
      <c r="D346" s="16" t="s">
        <v>622</v>
      </c>
      <c r="E346" s="16" t="s">
        <v>908</v>
      </c>
      <c r="F346" s="18" t="s">
        <v>907</v>
      </c>
      <c r="G346" s="17" t="s">
        <v>906</v>
      </c>
      <c r="H346" s="16" t="s">
        <v>8</v>
      </c>
      <c r="I346" s="16" t="s">
        <v>19</v>
      </c>
      <c r="J346" s="188" t="s">
        <v>18</v>
      </c>
      <c r="K346" s="181" t="s">
        <v>18</v>
      </c>
      <c r="L346" s="181" t="s">
        <v>18</v>
      </c>
      <c r="M346" s="186"/>
      <c r="N346" s="181" t="s">
        <v>46</v>
      </c>
      <c r="P346" s="105" t="s">
        <v>126</v>
      </c>
      <c r="Q346" s="105" t="s">
        <v>177</v>
      </c>
      <c r="R346" s="105" t="s">
        <v>10</v>
      </c>
      <c r="S346" s="104" t="s">
        <v>176</v>
      </c>
      <c r="T346" s="106" t="s">
        <v>158</v>
      </c>
      <c r="U346" s="106" t="s">
        <v>24</v>
      </c>
      <c r="V346" s="104" t="s">
        <v>24</v>
      </c>
      <c r="W346" s="3" t="s">
        <v>10</v>
      </c>
      <c r="X346" s="3" t="s">
        <v>10</v>
      </c>
      <c r="Y346" s="182" t="str">
        <f>_xlfn.LET(_xlpm.v,_xlfn.XLOOKUP(E346,'[1]SME09-01_LHM'!$D:$D,'[1]SME09-01_LHM'!$AL:$AL),IF(_xlpm.v=0,"",_xlpm.v))</f>
        <v>IBT-098</v>
      </c>
      <c r="Z346" s="104" t="str">
        <f>_xlfn.LET(_xlpm.v,IF(ISTEXT(Y346),_xlfn.XLOOKUP(Y346,'JP-PINT'!A:A,'JP-PINT'!B:B),""),IF(ISERROR(_xlpm.v),"",_xlpm.v))</f>
        <v>&gt; Document level allowance reason code</v>
      </c>
      <c r="AA346" s="23" t="s">
        <v>8</v>
      </c>
    </row>
    <row r="347" spans="1:27" ht="12.75" customHeight="1">
      <c r="A347" s="4">
        <f>IF(ISTEXT(E347),_xlfn.XLOOKUP(E347,'[1]SME09-01_LHM'!$D:$D,'[1]SME09-01_LHM'!$B:$B))</f>
        <v>482</v>
      </c>
      <c r="B347" s="4">
        <f>_xlfn.XLOOKUP(F347,'[1]SME09-01_LHM'!$I:$I,'[1]SME09-01_LHM'!$B:$B)</f>
        <v>482</v>
      </c>
      <c r="C347" s="22">
        <f>ROW()-25</f>
        <v>322</v>
      </c>
      <c r="D347" s="16" t="s">
        <v>622</v>
      </c>
      <c r="E347" s="16" t="s">
        <v>904</v>
      </c>
      <c r="F347" s="18" t="s">
        <v>903</v>
      </c>
      <c r="G347" s="17" t="s">
        <v>902</v>
      </c>
      <c r="H347" s="16" t="s">
        <v>8</v>
      </c>
      <c r="I347" s="16" t="s">
        <v>19</v>
      </c>
      <c r="J347" s="188" t="s">
        <v>18</v>
      </c>
      <c r="K347" s="181" t="s">
        <v>18</v>
      </c>
      <c r="L347" s="181" t="s">
        <v>18</v>
      </c>
      <c r="M347" s="186" t="s">
        <v>618</v>
      </c>
      <c r="N347" s="181" t="s">
        <v>46</v>
      </c>
      <c r="P347" s="105" t="s">
        <v>126</v>
      </c>
      <c r="Q347" s="105" t="s">
        <v>171</v>
      </c>
      <c r="R347" s="105" t="s">
        <v>10</v>
      </c>
      <c r="S347" s="104"/>
      <c r="T347" s="106"/>
      <c r="U347" s="106" t="s">
        <v>24</v>
      </c>
      <c r="V347" s="104" t="s">
        <v>24</v>
      </c>
      <c r="W347" s="3" t="s">
        <v>10</v>
      </c>
      <c r="X347" s="3" t="s">
        <v>10</v>
      </c>
      <c r="Y347" s="182" t="str">
        <f>_xlfn.LET(_xlpm.v,_xlfn.XLOOKUP(E347,'[1]SME09-01_LHM'!$D:$D,'[1]SME09-01_LHM'!$AL:$AL),IF(_xlpm.v=0,"",_xlpm.v))</f>
        <v>IBT-097</v>
      </c>
      <c r="Z347" s="104" t="str">
        <f>_xlfn.LET(_xlpm.v,IF(ISTEXT(Y347),_xlfn.XLOOKUP(Y347,'JP-PINT'!A:A,'JP-PINT'!B:B),""),IF(ISERROR(_xlpm.v),"",_xlpm.v))</f>
        <v>&gt; Document level allowance reason</v>
      </c>
      <c r="AA347" s="23" t="s">
        <v>8</v>
      </c>
    </row>
    <row r="348" spans="1:27" ht="12.75" customHeight="1">
      <c r="A348" s="4">
        <f>IF(ISTEXT(E348),_xlfn.XLOOKUP(E348,'[1]SME09-01_LHM'!$D:$D,'[1]SME09-01_LHM'!$B:$B))</f>
        <v>483</v>
      </c>
      <c r="B348" s="4">
        <f>_xlfn.XLOOKUP(F348,'[1]SME09-01_LHM'!$I:$I,'[1]SME09-01_LHM'!$B:$B)</f>
        <v>483</v>
      </c>
      <c r="C348" s="22">
        <f>ROW()-25</f>
        <v>323</v>
      </c>
      <c r="D348" s="16" t="s">
        <v>622</v>
      </c>
      <c r="E348" s="16" t="s">
        <v>900</v>
      </c>
      <c r="F348" s="18" t="s">
        <v>899</v>
      </c>
      <c r="G348" s="17" t="s">
        <v>898</v>
      </c>
      <c r="H348" s="16" t="s">
        <v>8</v>
      </c>
      <c r="I348" s="16" t="s">
        <v>19</v>
      </c>
      <c r="J348" s="188" t="s">
        <v>18</v>
      </c>
      <c r="K348" s="181" t="s">
        <v>18</v>
      </c>
      <c r="L348" s="181" t="s">
        <v>18</v>
      </c>
      <c r="M348" s="186"/>
      <c r="N348" s="181" t="s">
        <v>46</v>
      </c>
      <c r="P348" s="105" t="s">
        <v>126</v>
      </c>
      <c r="Q348" s="105" t="s">
        <v>166</v>
      </c>
      <c r="R348" s="105" t="s">
        <v>10</v>
      </c>
      <c r="S348" s="104"/>
      <c r="T348" s="106"/>
      <c r="U348" s="106" t="s">
        <v>24</v>
      </c>
      <c r="V348" s="104" t="s">
        <v>24</v>
      </c>
      <c r="W348" s="3" t="s">
        <v>10</v>
      </c>
      <c r="X348" s="3" t="s">
        <v>10</v>
      </c>
      <c r="Y348" s="182" t="str">
        <f>_xlfn.LET(_xlpm.v,_xlfn.XLOOKUP(E348,'[1]SME09-01_LHM'!$D:$D,'[1]SME09-01_LHM'!$AL:$AL),IF(_xlpm.v=0,"",_xlpm.v))</f>
        <v>IBT-093</v>
      </c>
      <c r="Z348" s="104" t="str">
        <f>_xlfn.LET(_xlpm.v,IF(ISTEXT(Y348),_xlfn.XLOOKUP(Y348,'JP-PINT'!A:A,'JP-PINT'!B:B),""),IF(ISERROR(_xlpm.v),"",_xlpm.v))</f>
        <v>&gt; Document level allowance base amount</v>
      </c>
      <c r="AA348" s="23" t="s">
        <v>8</v>
      </c>
    </row>
    <row r="349" spans="1:27" ht="12.75" customHeight="1">
      <c r="A349" s="4">
        <f>IF(ISTEXT(E349),_xlfn.XLOOKUP(E349,'[1]SME09-01_LHM'!$D:$D,'[1]SME09-01_LHM'!$B:$B))</f>
        <v>484</v>
      </c>
      <c r="B349" s="4">
        <f>_xlfn.XLOOKUP(F349,'[1]SME09-01_LHM'!$I:$I,'[1]SME09-01_LHM'!$B:$B)</f>
        <v>484</v>
      </c>
      <c r="C349" s="22">
        <f>ROW()-25</f>
        <v>324</v>
      </c>
      <c r="D349" s="26" t="s">
        <v>622</v>
      </c>
      <c r="E349" s="26" t="s">
        <v>896</v>
      </c>
      <c r="F349" s="93" t="s">
        <v>2748</v>
      </c>
      <c r="G349" s="25" t="s">
        <v>895</v>
      </c>
      <c r="H349" s="67" t="s">
        <v>8</v>
      </c>
      <c r="I349" s="26" t="s">
        <v>143</v>
      </c>
      <c r="J349" s="201" t="s">
        <v>18</v>
      </c>
      <c r="K349" s="199" t="s">
        <v>18</v>
      </c>
      <c r="L349" s="199" t="s">
        <v>18</v>
      </c>
      <c r="M349" s="189"/>
      <c r="N349" s="181" t="s">
        <v>27</v>
      </c>
      <c r="P349" s="105" t="s">
        <v>126</v>
      </c>
      <c r="Q349" s="105" t="s">
        <v>856</v>
      </c>
      <c r="R349" s="105" t="s">
        <v>25</v>
      </c>
      <c r="S349" s="104"/>
      <c r="T349" s="106" t="s">
        <v>103</v>
      </c>
      <c r="U349" s="106" t="s">
        <v>24</v>
      </c>
      <c r="V349" s="105" t="s">
        <v>24</v>
      </c>
      <c r="W349" s="3" t="s">
        <v>25</v>
      </c>
      <c r="X349" s="3" t="s">
        <v>25</v>
      </c>
      <c r="Y349" s="182" t="str">
        <f>_xlfn.LET(_xlpm.v,_xlfn.XLOOKUP(E349,'[1]SME09-01_LHM'!$D:$D,'[1]SME09-01_LHM'!$AL:$AL),IF(_xlpm.v=0,"",_xlpm.v))</f>
        <v/>
      </c>
      <c r="Z349" s="104" t="str">
        <f>_xlfn.LET(_xlpm.v,IF(ISTEXT(Y349),_xlfn.XLOOKUP(Y349,'JP-PINT'!A:A,'JP-PINT'!B:B),""),IF(ISERROR(_xlpm.v),"",_xlpm.v))</f>
        <v/>
      </c>
      <c r="AA349" s="181" t="s">
        <v>24</v>
      </c>
    </row>
    <row r="350" spans="1:27" s="45" customFormat="1" ht="12.75" customHeight="1">
      <c r="A350" s="4">
        <f>IF(ISTEXT(E350),_xlfn.XLOOKUP(E350,'[1]SME09-01_LHM'!$D:$D,'[1]SME09-01_LHM'!$B:$B))</f>
        <v>485.1</v>
      </c>
      <c r="B350" s="4">
        <f>_xlfn.XLOOKUP(F350,'[1]SME09-01_LHM'!$I:$I,'[1]SME09-01_LHM'!$B:$B)</f>
        <v>485.1</v>
      </c>
      <c r="C350" s="44"/>
      <c r="D350" s="47"/>
      <c r="E350" s="16" t="s">
        <v>2750</v>
      </c>
      <c r="F350" s="93" t="s">
        <v>2749</v>
      </c>
      <c r="G350" s="37" t="s">
        <v>163</v>
      </c>
      <c r="H350" s="35" t="s">
        <v>8</v>
      </c>
      <c r="I350" s="35"/>
      <c r="J350" s="284"/>
      <c r="K350" s="284"/>
      <c r="L350" s="284"/>
      <c r="M350" s="197"/>
      <c r="N350" s="35"/>
      <c r="O350" s="41"/>
      <c r="P350" s="148"/>
      <c r="Q350" s="130" t="s">
        <v>162</v>
      </c>
      <c r="R350" s="148" t="s">
        <v>10</v>
      </c>
      <c r="S350" s="130" t="s">
        <v>161</v>
      </c>
      <c r="T350" s="149" t="s">
        <v>158</v>
      </c>
      <c r="U350" s="149"/>
      <c r="V350" s="148"/>
      <c r="W350" s="40"/>
      <c r="X350" s="40"/>
      <c r="Y350" s="182" t="str">
        <f>_xlfn.LET(_xlpm.v,_xlfn.XLOOKUP(E350,'[1]SME09-01_LHM'!$D:$D,'[1]SME09-01_LHM'!$AL:$AL),IF(_xlpm.v=0,"",_xlpm.v))</f>
        <v/>
      </c>
      <c r="Z350" s="104" t="str">
        <f>_xlfn.LET(_xlpm.v,IF(ISTEXT(Y350),_xlfn.XLOOKUP(Y350,'JP-PINT'!A:A,'JP-PINT'!B:B),""),IF(ISERROR(_xlpm.v),"",_xlpm.v))</f>
        <v/>
      </c>
      <c r="AA350" s="35"/>
    </row>
    <row r="351" spans="1:27" s="137" customFormat="1" ht="12.75" customHeight="1">
      <c r="A351" s="4">
        <f>IF(ISTEXT(E351),_xlfn.XLOOKUP(E351,'[1]SME09-01_LHM'!$D:$D,'[1]SME09-01_LHM'!$B:$B))</f>
        <v>486</v>
      </c>
      <c r="B351" s="4">
        <f>_xlfn.XLOOKUP(F351,'[1]SME09-01_LHM'!$I:$I,'[1]SME09-01_LHM'!$B:$B)</f>
        <v>486</v>
      </c>
      <c r="C351" s="102">
        <f>ROW()-25</f>
        <v>326</v>
      </c>
      <c r="D351" s="103" t="s">
        <v>622</v>
      </c>
      <c r="E351" s="103" t="s">
        <v>894</v>
      </c>
      <c r="F351" s="104" t="s">
        <v>893</v>
      </c>
      <c r="G351" s="104" t="s">
        <v>892</v>
      </c>
      <c r="H351" s="103" t="s">
        <v>31</v>
      </c>
      <c r="I351" s="103" t="s">
        <v>143</v>
      </c>
      <c r="J351" s="222" t="s">
        <v>18</v>
      </c>
      <c r="K351" s="223" t="s">
        <v>18</v>
      </c>
      <c r="L351" s="223" t="s">
        <v>18</v>
      </c>
      <c r="M351" s="193" t="s">
        <v>618</v>
      </c>
      <c r="N351" s="223" t="s">
        <v>46</v>
      </c>
      <c r="O351" s="136"/>
      <c r="P351" s="105" t="s">
        <v>126</v>
      </c>
      <c r="Q351" s="105" t="s">
        <v>156</v>
      </c>
      <c r="R351" s="105" t="s">
        <v>10</v>
      </c>
      <c r="S351" s="104" t="s">
        <v>159</v>
      </c>
      <c r="T351" s="106" t="s">
        <v>158</v>
      </c>
      <c r="U351" s="106" t="s">
        <v>367</v>
      </c>
      <c r="V351" s="105" t="s">
        <v>355</v>
      </c>
      <c r="W351" s="107" t="s">
        <v>10</v>
      </c>
      <c r="X351" s="107" t="s">
        <v>10</v>
      </c>
      <c r="Y351" s="192" t="str">
        <f>_xlfn.LET(_xlpm.v,_xlfn.XLOOKUP(E351,'[1]SME09-01_LHM'!$D:$D,'[1]SME09-01_LHM'!$AL:$AL),IF(_xlpm.v=0,"",_xlpm.v))</f>
        <v>IBT-096</v>
      </c>
      <c r="Z351" s="104" t="str">
        <f>_xlfn.LET(_xlpm.v,IF(ISTEXT(Y351),_xlfn.XLOOKUP(Y351,'JP-PINT'!A:A,'JP-PINT'!B:B),""),IF(ISERROR(_xlpm.v),"",_xlpm.v))</f>
        <v>&gt; Document level allowance TAX rate</v>
      </c>
      <c r="AA351" s="138" t="s">
        <v>8</v>
      </c>
    </row>
    <row r="352" spans="1:27" ht="12.75" customHeight="1">
      <c r="A352" s="4">
        <f>IF(ISTEXT(E352),_xlfn.XLOOKUP(E352,'[1]SME09-01_LHM'!$D:$D,'[1]SME09-01_LHM'!$B:$B))</f>
        <v>487</v>
      </c>
      <c r="B352" s="4">
        <f>_xlfn.XLOOKUP(F352,'[1]SME09-01_LHM'!$I:$I,'[1]SME09-01_LHM'!$B:$B)</f>
        <v>487</v>
      </c>
      <c r="C352" s="22">
        <f>ROW()-25</f>
        <v>327</v>
      </c>
      <c r="D352" s="16" t="s">
        <v>622</v>
      </c>
      <c r="E352" s="16" t="s">
        <v>890</v>
      </c>
      <c r="F352" s="17" t="s">
        <v>889</v>
      </c>
      <c r="G352" s="17" t="s">
        <v>888</v>
      </c>
      <c r="H352" s="16" t="s">
        <v>8</v>
      </c>
      <c r="I352" s="16" t="s">
        <v>143</v>
      </c>
      <c r="J352" s="188" t="s">
        <v>18</v>
      </c>
      <c r="K352" s="181" t="s">
        <v>18</v>
      </c>
      <c r="L352" s="181" t="s">
        <v>18</v>
      </c>
      <c r="M352" s="186" t="s">
        <v>618</v>
      </c>
      <c r="N352" s="181" t="s">
        <v>183</v>
      </c>
      <c r="P352" s="105" t="s">
        <v>126</v>
      </c>
      <c r="Q352" s="105" t="s">
        <v>345</v>
      </c>
      <c r="R352" s="105" t="s">
        <v>10</v>
      </c>
      <c r="S352" s="104"/>
      <c r="T352" s="106" t="s">
        <v>24</v>
      </c>
      <c r="U352" s="106" t="s">
        <v>24</v>
      </c>
      <c r="V352" s="105" t="s">
        <v>24</v>
      </c>
      <c r="W352" s="3" t="s">
        <v>10</v>
      </c>
      <c r="X352" s="3" t="s">
        <v>10</v>
      </c>
      <c r="Y352" s="182" t="str">
        <f>_xlfn.LET(_xlpm.v,_xlfn.XLOOKUP(E352,'[1]SME09-01_LHM'!$D:$D,'[1]SME09-01_LHM'!$AL:$AL),IF(_xlpm.v=0,"",_xlpm.v))</f>
        <v>IBT-095</v>
      </c>
      <c r="Z352" s="104" t="str">
        <f>_xlfn.LET(_xlpm.v,IF(ISTEXT(Y352),_xlfn.XLOOKUP(Y352,'JP-PINT'!A:A,'JP-PINT'!B:B),""),IF(ISERROR(_xlpm.v),"",_xlpm.v))</f>
        <v>&gt; Document level allowance TAX category code</v>
      </c>
      <c r="AA352" s="23" t="s">
        <v>31</v>
      </c>
    </row>
    <row r="353" spans="1:27" ht="12.75" customHeight="1">
      <c r="A353" s="4">
        <f>IF(ISTEXT(E353),_xlfn.XLOOKUP(E353,'[1]SME09-01_LHM'!$D:$D,'[1]SME09-01_LHM'!$B:$B))</f>
        <v>488</v>
      </c>
      <c r="B353" s="4">
        <f>_xlfn.XLOOKUP(F353,'[1]SME09-01_LHM'!$I:$I,'[1]SME09-01_LHM'!$B:$B)</f>
        <v>488</v>
      </c>
      <c r="C353" s="22">
        <f>ROW()-25</f>
        <v>328</v>
      </c>
      <c r="D353" s="26" t="s">
        <v>622</v>
      </c>
      <c r="E353" s="26" t="s">
        <v>886</v>
      </c>
      <c r="F353" s="93" t="s">
        <v>2753</v>
      </c>
      <c r="G353" s="25" t="s">
        <v>885</v>
      </c>
      <c r="H353" s="26" t="s">
        <v>43</v>
      </c>
      <c r="I353" s="26" t="s">
        <v>19</v>
      </c>
      <c r="J353" s="201" t="s">
        <v>18</v>
      </c>
      <c r="K353" s="199" t="s">
        <v>18</v>
      </c>
      <c r="L353" s="199" t="s">
        <v>18</v>
      </c>
      <c r="M353" s="189"/>
      <c r="N353" s="181" t="s">
        <v>46</v>
      </c>
      <c r="P353" s="105" t="s">
        <v>126</v>
      </c>
      <c r="Q353" s="105" t="s">
        <v>884</v>
      </c>
      <c r="R353" s="105" t="s">
        <v>25</v>
      </c>
      <c r="S353" s="104"/>
      <c r="T353" s="106" t="s">
        <v>103</v>
      </c>
      <c r="U353" s="106" t="s">
        <v>24</v>
      </c>
      <c r="V353" s="105" t="s">
        <v>24</v>
      </c>
      <c r="W353" s="3" t="s">
        <v>25</v>
      </c>
      <c r="X353" s="3" t="s">
        <v>25</v>
      </c>
      <c r="Y353" s="182" t="str">
        <f>_xlfn.LET(_xlpm.v,_xlfn.XLOOKUP(E353,'[1]SME09-01_LHM'!$D:$D,'[1]SME09-01_LHM'!$AL:$AL),IF(_xlpm.v=0,"",_xlpm.v))</f>
        <v>IBG-21</v>
      </c>
      <c r="Z353" s="104" t="str">
        <f>_xlfn.LET(_xlpm.v,IF(ISTEXT(Y353),_xlfn.XLOOKUP(Y353,'JP-PINT'!A:A,'JP-PINT'!B:B),""),IF(ISERROR(_xlpm.v),"",_xlpm.v))</f>
        <v>DOCUMENT LEVEL CHARGES</v>
      </c>
      <c r="AA353" s="23" t="s">
        <v>8</v>
      </c>
    </row>
    <row r="354" spans="1:27" s="137" customFormat="1" ht="12.75" customHeight="1">
      <c r="A354" s="4" t="e">
        <f>IF(ISTEXT(E354),_xlfn.XLOOKUP(E354,'[1]SME09-01_LHM'!$D:$D,'[1]SME09-01_LHM'!$B:$B))</f>
        <v>#N/A</v>
      </c>
      <c r="B354" s="4" t="e">
        <f>_xlfn.XLOOKUP(F354,'[1]SME09-01_LHM'!$I:$I,'[1]SME09-01_LHM'!$B:$B)</f>
        <v>#N/A</v>
      </c>
      <c r="C354" s="102">
        <f>ROW()-25</f>
        <v>329</v>
      </c>
      <c r="D354" s="103" t="s">
        <v>622</v>
      </c>
      <c r="E354" s="103" t="s">
        <v>882</v>
      </c>
      <c r="F354" s="105" t="s">
        <v>881</v>
      </c>
      <c r="G354" s="104" t="s">
        <v>880</v>
      </c>
      <c r="H354" s="103" t="s">
        <v>31</v>
      </c>
      <c r="I354" s="103" t="s">
        <v>19</v>
      </c>
      <c r="J354" s="222" t="s">
        <v>18</v>
      </c>
      <c r="K354" s="223" t="s">
        <v>18</v>
      </c>
      <c r="L354" s="223" t="s">
        <v>18</v>
      </c>
      <c r="M354" s="193"/>
      <c r="N354" s="223" t="s">
        <v>588</v>
      </c>
      <c r="O354" s="136"/>
      <c r="P354" s="105" t="s">
        <v>126</v>
      </c>
      <c r="Q354" s="105" t="s">
        <v>194</v>
      </c>
      <c r="R354" s="105" t="s">
        <v>10</v>
      </c>
      <c r="S354" s="104"/>
      <c r="T354" s="106" t="s">
        <v>158</v>
      </c>
      <c r="U354" s="106" t="s">
        <v>193</v>
      </c>
      <c r="V354" s="105" t="s">
        <v>879</v>
      </c>
      <c r="W354" s="107" t="s">
        <v>10</v>
      </c>
      <c r="X354" s="107" t="s">
        <v>10</v>
      </c>
      <c r="Y354" s="192"/>
      <c r="Z354" s="104" t="str">
        <f>_xlfn.LET(_xlpm.v,IF(ISTEXT(Y354),_xlfn.XLOOKUP(Y354,'JP-PINT'!A:A,'JP-PINT'!B:B),""),IF(ISERROR(_xlpm.v),"",_xlpm.v))</f>
        <v/>
      </c>
      <c r="AA354" s="138" t="s">
        <v>24</v>
      </c>
    </row>
    <row r="355" spans="1:27" ht="12.75" customHeight="1">
      <c r="A355" s="4">
        <f>IF(ISTEXT(E355),_xlfn.XLOOKUP(E355,'[1]SME09-01_LHM'!$D:$D,'[1]SME09-01_LHM'!$B:$B))</f>
        <v>491</v>
      </c>
      <c r="B355" s="4">
        <f>_xlfn.XLOOKUP(F355,'[1]SME09-01_LHM'!$I:$I,'[1]SME09-01_LHM'!$B:$B)</f>
        <v>491</v>
      </c>
      <c r="C355" s="22">
        <f>ROW()-25</f>
        <v>330</v>
      </c>
      <c r="D355" s="16" t="s">
        <v>622</v>
      </c>
      <c r="E355" s="16" t="s">
        <v>878</v>
      </c>
      <c r="F355" s="18" t="s">
        <v>877</v>
      </c>
      <c r="G355" s="17" t="s">
        <v>876</v>
      </c>
      <c r="H355" s="16" t="s">
        <v>8</v>
      </c>
      <c r="I355" s="16" t="s">
        <v>19</v>
      </c>
      <c r="J355" s="188" t="s">
        <v>18</v>
      </c>
      <c r="K355" s="181" t="s">
        <v>18</v>
      </c>
      <c r="L355" s="181" t="s">
        <v>18</v>
      </c>
      <c r="M355" s="186"/>
      <c r="N355" s="181" t="s">
        <v>17</v>
      </c>
      <c r="P355" s="105" t="s">
        <v>126</v>
      </c>
      <c r="Q355" s="105" t="s">
        <v>188</v>
      </c>
      <c r="R355" s="105" t="s">
        <v>10</v>
      </c>
      <c r="S355" s="104"/>
      <c r="T355" s="106" t="s">
        <v>24</v>
      </c>
      <c r="U355" s="106" t="s">
        <v>24</v>
      </c>
      <c r="V355" s="104" t="s">
        <v>24</v>
      </c>
      <c r="W355" s="3" t="s">
        <v>10</v>
      </c>
      <c r="X355" s="3" t="s">
        <v>10</v>
      </c>
      <c r="Y355" s="182" t="str">
        <f>_xlfn.LET(_xlpm.v,_xlfn.XLOOKUP(E355,'[1]SME09-01_LHM'!$D:$D,'[1]SME09-01_LHM'!$AL:$AL),IF(_xlpm.v=0,"",_xlpm.v))</f>
        <v>IBT-101</v>
      </c>
      <c r="Z355" s="104" t="str">
        <f>_xlfn.LET(_xlpm.v,IF(ISTEXT(Y355),_xlfn.XLOOKUP(Y355,'JP-PINT'!A:A,'JP-PINT'!B:B),""),IF(ISERROR(_xlpm.v),"",_xlpm.v))</f>
        <v>&gt; Document level charge percentage</v>
      </c>
      <c r="AA355" s="23" t="s">
        <v>548</v>
      </c>
    </row>
    <row r="356" spans="1:27" ht="12.75" customHeight="1">
      <c r="A356" s="4">
        <f>IF(ISTEXT(E356),_xlfn.XLOOKUP(E356,'[1]SME09-01_LHM'!$D:$D,'[1]SME09-01_LHM'!$B:$B))</f>
        <v>492</v>
      </c>
      <c r="B356" s="4">
        <f>_xlfn.XLOOKUP(F356,'[1]SME09-01_LHM'!$I:$I,'[1]SME09-01_LHM'!$B:$B)</f>
        <v>492</v>
      </c>
      <c r="C356" s="22">
        <f>ROW()-25</f>
        <v>331</v>
      </c>
      <c r="D356" s="16" t="s">
        <v>622</v>
      </c>
      <c r="E356" s="16" t="s">
        <v>874</v>
      </c>
      <c r="F356" s="18" t="s">
        <v>873</v>
      </c>
      <c r="G356" s="17" t="s">
        <v>872</v>
      </c>
      <c r="H356" s="16" t="s">
        <v>8</v>
      </c>
      <c r="I356" s="16" t="s">
        <v>19</v>
      </c>
      <c r="J356" s="188" t="s">
        <v>18</v>
      </c>
      <c r="K356" s="181" t="s">
        <v>18</v>
      </c>
      <c r="L356" s="181" t="s">
        <v>18</v>
      </c>
      <c r="M356" s="186" t="s">
        <v>618</v>
      </c>
      <c r="N356" s="181" t="s">
        <v>183</v>
      </c>
      <c r="P356" s="105" t="s">
        <v>126</v>
      </c>
      <c r="Q356" s="105" t="s">
        <v>182</v>
      </c>
      <c r="R356" s="105" t="s">
        <v>10</v>
      </c>
      <c r="S356" s="104"/>
      <c r="T356" s="106"/>
      <c r="U356" s="106" t="s">
        <v>24</v>
      </c>
      <c r="V356" s="104" t="s">
        <v>24</v>
      </c>
      <c r="W356" s="3" t="s">
        <v>10</v>
      </c>
      <c r="X356" s="3" t="s">
        <v>10</v>
      </c>
      <c r="Y356" s="182" t="str">
        <f>_xlfn.LET(_xlpm.v,_xlfn.XLOOKUP(E356,'[1]SME09-01_LHM'!$D:$D,'[1]SME09-01_LHM'!$AL:$AL),IF(_xlpm.v=0,"",_xlpm.v))</f>
        <v>IBT-099</v>
      </c>
      <c r="Z356" s="104" t="str">
        <f>_xlfn.LET(_xlpm.v,IF(ISTEXT(Y356),_xlfn.XLOOKUP(Y356,'JP-PINT'!A:A,'JP-PINT'!B:B),""),IF(ISERROR(_xlpm.v),"",_xlpm.v))</f>
        <v>&gt; Document level charge amount</v>
      </c>
      <c r="AA356" s="23" t="s">
        <v>31</v>
      </c>
    </row>
    <row r="357" spans="1:27" ht="12.75" customHeight="1">
      <c r="A357" s="4">
        <f>IF(ISTEXT(E357),_xlfn.XLOOKUP(E357,'[1]SME09-01_LHM'!$D:$D,'[1]SME09-01_LHM'!$B:$B))</f>
        <v>493</v>
      </c>
      <c r="B357" s="4">
        <f>_xlfn.XLOOKUP(F357,'[1]SME09-01_LHM'!$I:$I,'[1]SME09-01_LHM'!$B:$B)</f>
        <v>493</v>
      </c>
      <c r="C357" s="22">
        <f>ROW()-25</f>
        <v>332</v>
      </c>
      <c r="D357" s="16" t="s">
        <v>622</v>
      </c>
      <c r="E357" s="16" t="s">
        <v>870</v>
      </c>
      <c r="F357" s="18" t="s">
        <v>869</v>
      </c>
      <c r="G357" s="17" t="s">
        <v>868</v>
      </c>
      <c r="H357" s="16" t="s">
        <v>8</v>
      </c>
      <c r="I357" s="16" t="s">
        <v>19</v>
      </c>
      <c r="J357" s="188" t="s">
        <v>18</v>
      </c>
      <c r="K357" s="181" t="s">
        <v>18</v>
      </c>
      <c r="L357" s="181" t="s">
        <v>18</v>
      </c>
      <c r="M357" s="186"/>
      <c r="N357" s="181" t="s">
        <v>17</v>
      </c>
      <c r="P357" s="105" t="s">
        <v>126</v>
      </c>
      <c r="Q357" s="105" t="s">
        <v>177</v>
      </c>
      <c r="R357" s="105" t="s">
        <v>10</v>
      </c>
      <c r="S357" s="104" t="s">
        <v>176</v>
      </c>
      <c r="T357" s="106" t="s">
        <v>158</v>
      </c>
      <c r="U357" s="106" t="s">
        <v>24</v>
      </c>
      <c r="V357" s="104" t="s">
        <v>24</v>
      </c>
      <c r="W357" s="3" t="s">
        <v>10</v>
      </c>
      <c r="X357" s="3" t="s">
        <v>10</v>
      </c>
      <c r="Y357" s="182" t="str">
        <f>_xlfn.LET(_xlpm.v,_xlfn.XLOOKUP(E357,'[1]SME09-01_LHM'!$D:$D,'[1]SME09-01_LHM'!$AL:$AL),IF(_xlpm.v=0,"",_xlpm.v))</f>
        <v>IBT-105</v>
      </c>
      <c r="Z357" s="104" t="str">
        <f>_xlfn.LET(_xlpm.v,IF(ISTEXT(Y357),_xlfn.XLOOKUP(Y357,'JP-PINT'!A:A,'JP-PINT'!B:B),""),IF(ISERROR(_xlpm.v),"",_xlpm.v))</f>
        <v>&gt; Document level charge reason code</v>
      </c>
      <c r="AA357" s="23" t="s">
        <v>8</v>
      </c>
    </row>
    <row r="358" spans="1:27" ht="12.75" customHeight="1">
      <c r="A358" s="4">
        <f>IF(ISTEXT(E358),_xlfn.XLOOKUP(E358,'[1]SME09-01_LHM'!$D:$D,'[1]SME09-01_LHM'!$B:$B))</f>
        <v>494</v>
      </c>
      <c r="B358" s="4">
        <f>_xlfn.XLOOKUP(F358,'[1]SME09-01_LHM'!$I:$I,'[1]SME09-01_LHM'!$B:$B)</f>
        <v>494</v>
      </c>
      <c r="C358" s="22">
        <f>ROW()-25</f>
        <v>333</v>
      </c>
      <c r="D358" s="16" t="s">
        <v>622</v>
      </c>
      <c r="E358" s="16" t="s">
        <v>866</v>
      </c>
      <c r="F358" s="18" t="s">
        <v>865</v>
      </c>
      <c r="G358" s="17" t="s">
        <v>864</v>
      </c>
      <c r="H358" s="16" t="s">
        <v>8</v>
      </c>
      <c r="I358" s="16" t="s">
        <v>19</v>
      </c>
      <c r="J358" s="188" t="s">
        <v>18</v>
      </c>
      <c r="K358" s="181" t="s">
        <v>18</v>
      </c>
      <c r="L358" s="181" t="s">
        <v>18</v>
      </c>
      <c r="M358" s="186" t="s">
        <v>618</v>
      </c>
      <c r="N358" s="181" t="s">
        <v>17</v>
      </c>
      <c r="P358" s="105" t="s">
        <v>126</v>
      </c>
      <c r="Q358" s="105" t="s">
        <v>171</v>
      </c>
      <c r="R358" s="105" t="s">
        <v>10</v>
      </c>
      <c r="S358" s="104"/>
      <c r="T358" s="106"/>
      <c r="U358" s="106" t="s">
        <v>24</v>
      </c>
      <c r="V358" s="104" t="s">
        <v>24</v>
      </c>
      <c r="W358" s="3" t="s">
        <v>10</v>
      </c>
      <c r="X358" s="3" t="s">
        <v>10</v>
      </c>
      <c r="Y358" s="182" t="str">
        <f>_xlfn.LET(_xlpm.v,_xlfn.XLOOKUP(E358,'[1]SME09-01_LHM'!$D:$D,'[1]SME09-01_LHM'!$AL:$AL),IF(_xlpm.v=0,"",_xlpm.v))</f>
        <v>IBT-104</v>
      </c>
      <c r="Z358" s="104" t="str">
        <f>_xlfn.LET(_xlpm.v,IF(ISTEXT(Y358),_xlfn.XLOOKUP(Y358,'JP-PINT'!A:A,'JP-PINT'!B:B),""),IF(ISERROR(_xlpm.v),"",_xlpm.v))</f>
        <v>&gt; Document level charge reason</v>
      </c>
      <c r="AA358" s="23" t="s">
        <v>8</v>
      </c>
    </row>
    <row r="359" spans="1:27" ht="12.75" customHeight="1">
      <c r="A359" s="4">
        <f>IF(ISTEXT(E359),_xlfn.XLOOKUP(E359,'[1]SME09-01_LHM'!$D:$D,'[1]SME09-01_LHM'!$B:$B))</f>
        <v>495</v>
      </c>
      <c r="B359" s="4">
        <f>_xlfn.XLOOKUP(F359,'[1]SME09-01_LHM'!$I:$I,'[1]SME09-01_LHM'!$B:$B)</f>
        <v>495</v>
      </c>
      <c r="C359" s="22">
        <f>ROW()-25</f>
        <v>334</v>
      </c>
      <c r="D359" s="16" t="s">
        <v>622</v>
      </c>
      <c r="E359" s="16" t="s">
        <v>862</v>
      </c>
      <c r="F359" s="18" t="s">
        <v>861</v>
      </c>
      <c r="G359" s="17" t="s">
        <v>860</v>
      </c>
      <c r="H359" s="16" t="s">
        <v>8</v>
      </c>
      <c r="I359" s="16" t="s">
        <v>19</v>
      </c>
      <c r="J359" s="188" t="s">
        <v>18</v>
      </c>
      <c r="K359" s="181" t="s">
        <v>18</v>
      </c>
      <c r="L359" s="181" t="s">
        <v>18</v>
      </c>
      <c r="M359" s="186"/>
      <c r="N359" s="181" t="s">
        <v>17</v>
      </c>
      <c r="P359" s="105" t="s">
        <v>126</v>
      </c>
      <c r="Q359" s="105" t="s">
        <v>166</v>
      </c>
      <c r="R359" s="105" t="s">
        <v>10</v>
      </c>
      <c r="S359" s="104"/>
      <c r="T359" s="106"/>
      <c r="U359" s="106" t="s">
        <v>24</v>
      </c>
      <c r="V359" s="104" t="s">
        <v>24</v>
      </c>
      <c r="W359" s="3" t="s">
        <v>10</v>
      </c>
      <c r="X359" s="3" t="s">
        <v>10</v>
      </c>
      <c r="Y359" s="182" t="str">
        <f>_xlfn.LET(_xlpm.v,_xlfn.XLOOKUP(E359,'[1]SME09-01_LHM'!$D:$D,'[1]SME09-01_LHM'!$AL:$AL),IF(_xlpm.v=0,"",_xlpm.v))</f>
        <v>IBT-100</v>
      </c>
      <c r="Z359" s="104" t="str">
        <f>_xlfn.LET(_xlpm.v,IF(ISTEXT(Y359),_xlfn.XLOOKUP(Y359,'JP-PINT'!A:A,'JP-PINT'!B:B),""),IF(ISERROR(_xlpm.v),"",_xlpm.v))</f>
        <v>&gt; Document level charge base amount</v>
      </c>
      <c r="AA359" s="23" t="s">
        <v>8</v>
      </c>
    </row>
    <row r="360" spans="1:27" ht="12.75" customHeight="1">
      <c r="A360" s="4">
        <f>IF(ISTEXT(E360),_xlfn.XLOOKUP(E360,'[1]SME09-01_LHM'!$D:$D,'[1]SME09-01_LHM'!$B:$B))</f>
        <v>496</v>
      </c>
      <c r="B360" s="4">
        <f>_xlfn.XLOOKUP(F360,'[1]SME09-01_LHM'!$I:$I,'[1]SME09-01_LHM'!$B:$B)</f>
        <v>496</v>
      </c>
      <c r="C360" s="22">
        <f>ROW()-25</f>
        <v>335</v>
      </c>
      <c r="D360" s="26" t="s">
        <v>622</v>
      </c>
      <c r="E360" s="26" t="s">
        <v>858</v>
      </c>
      <c r="F360" s="93" t="s">
        <v>2754</v>
      </c>
      <c r="G360" s="25" t="s">
        <v>857</v>
      </c>
      <c r="H360" s="67" t="s">
        <v>8</v>
      </c>
      <c r="I360" s="26" t="s">
        <v>19</v>
      </c>
      <c r="J360" s="201" t="s">
        <v>18</v>
      </c>
      <c r="K360" s="199" t="s">
        <v>18</v>
      </c>
      <c r="L360" s="199" t="s">
        <v>18</v>
      </c>
      <c r="M360" s="189"/>
      <c r="N360" s="23" t="s">
        <v>24</v>
      </c>
      <c r="P360" s="105" t="s">
        <v>126</v>
      </c>
      <c r="Q360" s="105" t="s">
        <v>856</v>
      </c>
      <c r="R360" s="105" t="s">
        <v>25</v>
      </c>
      <c r="S360" s="104"/>
      <c r="T360" s="106" t="s">
        <v>103</v>
      </c>
      <c r="U360" s="106" t="s">
        <v>24</v>
      </c>
      <c r="V360" s="105" t="s">
        <v>24</v>
      </c>
      <c r="W360" s="3" t="s">
        <v>25</v>
      </c>
      <c r="X360" s="3" t="s">
        <v>25</v>
      </c>
      <c r="Y360" s="182" t="str">
        <f>_xlfn.LET(_xlpm.v,_xlfn.XLOOKUP(E360,'[1]SME09-01_LHM'!$D:$D,'[1]SME09-01_LHM'!$AL:$AL),IF(_xlpm.v=0,"",_xlpm.v))</f>
        <v/>
      </c>
      <c r="Z360" s="104" t="str">
        <f>_xlfn.LET(_xlpm.v,IF(ISTEXT(Y360),_xlfn.XLOOKUP(Y360,'JP-PINT'!A:A,'JP-PINT'!B:B),""),IF(ISERROR(_xlpm.v),"",_xlpm.v))</f>
        <v/>
      </c>
      <c r="AA360" s="23" t="s">
        <v>24</v>
      </c>
    </row>
    <row r="361" spans="1:27" s="45" customFormat="1" ht="12.75" customHeight="1">
      <c r="A361" s="4">
        <f>IF(ISTEXT(E361),_xlfn.XLOOKUP(E361,'[1]SME09-01_LHM'!$D:$D,'[1]SME09-01_LHM'!$B:$B))</f>
        <v>485.1</v>
      </c>
      <c r="B361" s="4">
        <f>_xlfn.XLOOKUP(F361,'[1]SME09-01_LHM'!$I:$I,'[1]SME09-01_LHM'!$B:$B)</f>
        <v>485.1</v>
      </c>
      <c r="C361" s="44"/>
      <c r="D361" s="47"/>
      <c r="E361" s="67" t="s">
        <v>2751</v>
      </c>
      <c r="F361" s="93" t="s">
        <v>2752</v>
      </c>
      <c r="G361" s="37" t="s">
        <v>163</v>
      </c>
      <c r="H361" s="35" t="s">
        <v>8</v>
      </c>
      <c r="I361" s="35"/>
      <c r="J361" s="284"/>
      <c r="K361" s="284"/>
      <c r="L361" s="284"/>
      <c r="M361" s="197"/>
      <c r="N361" s="35"/>
      <c r="O361" s="41"/>
      <c r="P361" s="148"/>
      <c r="Q361" s="130" t="s">
        <v>162</v>
      </c>
      <c r="R361" s="148" t="s">
        <v>10</v>
      </c>
      <c r="S361" s="130" t="s">
        <v>161</v>
      </c>
      <c r="T361" s="149" t="s">
        <v>158</v>
      </c>
      <c r="U361" s="149"/>
      <c r="V361" s="148"/>
      <c r="W361" s="40"/>
      <c r="X361" s="40"/>
      <c r="Y361" s="182" t="str">
        <f>_xlfn.LET(_xlpm.v,_xlfn.XLOOKUP(E361,'[1]SME09-01_LHM'!$D:$D,'[1]SME09-01_LHM'!$AL:$AL),IF(_xlpm.v=0,"",_xlpm.v))</f>
        <v/>
      </c>
      <c r="Z361" s="104" t="str">
        <f>_xlfn.LET(_xlpm.v,IF(ISTEXT(Y361),_xlfn.XLOOKUP(Y361,'JP-PINT'!A:A,'JP-PINT'!B:B),""),IF(ISERROR(_xlpm.v),"",_xlpm.v))</f>
        <v/>
      </c>
      <c r="AA361" s="35"/>
    </row>
    <row r="362" spans="1:27" s="137" customFormat="1" ht="12.75" customHeight="1">
      <c r="A362" s="4">
        <f>IF(ISTEXT(E362),_xlfn.XLOOKUP(E362,'[1]SME09-01_LHM'!$D:$D,'[1]SME09-01_LHM'!$B:$B))</f>
        <v>486</v>
      </c>
      <c r="B362" s="4">
        <f>_xlfn.XLOOKUP(F362,'[1]SME09-01_LHM'!$I:$I,'[1]SME09-01_LHM'!$B:$B)</f>
        <v>486</v>
      </c>
      <c r="C362" s="102">
        <f>ROW()-25</f>
        <v>337</v>
      </c>
      <c r="D362" s="103" t="s">
        <v>622</v>
      </c>
      <c r="E362" s="103" t="s">
        <v>855</v>
      </c>
      <c r="F362" s="104" t="s">
        <v>854</v>
      </c>
      <c r="G362" s="104" t="s">
        <v>853</v>
      </c>
      <c r="H362" s="103" t="s">
        <v>31</v>
      </c>
      <c r="I362" s="103" t="s">
        <v>19</v>
      </c>
      <c r="J362" s="222" t="s">
        <v>18</v>
      </c>
      <c r="K362" s="223" t="s">
        <v>18</v>
      </c>
      <c r="L362" s="223" t="s">
        <v>18</v>
      </c>
      <c r="M362" s="193" t="s">
        <v>618</v>
      </c>
      <c r="N362" s="223" t="s">
        <v>46</v>
      </c>
      <c r="O362" s="136"/>
      <c r="P362" s="105" t="s">
        <v>126</v>
      </c>
      <c r="Q362" s="105" t="s">
        <v>156</v>
      </c>
      <c r="R362" s="105" t="s">
        <v>10</v>
      </c>
      <c r="S362" s="104" t="s">
        <v>159</v>
      </c>
      <c r="T362" s="106" t="s">
        <v>158</v>
      </c>
      <c r="U362" s="106" t="s">
        <v>367</v>
      </c>
      <c r="V362" s="105" t="s">
        <v>355</v>
      </c>
      <c r="W362" s="107" t="s">
        <v>10</v>
      </c>
      <c r="X362" s="107" t="s">
        <v>10</v>
      </c>
      <c r="Y362" s="192" t="str">
        <f>_xlfn.LET(_xlpm.v,_xlfn.XLOOKUP(E362,'[1]SME09-01_LHM'!$D:$D,'[1]SME09-01_LHM'!$AL:$AL),IF(_xlpm.v=0,"",_xlpm.v))</f>
        <v>IBT-096</v>
      </c>
      <c r="Z362" s="104" t="str">
        <f>_xlfn.LET(_xlpm.v,IF(ISTEXT(Y362),_xlfn.XLOOKUP(Y362,'JP-PINT'!A:A,'JP-PINT'!B:B),""),IF(ISERROR(_xlpm.v),"",_xlpm.v))</f>
        <v>&gt; Document level allowance TAX rate</v>
      </c>
      <c r="AA362" s="138" t="s">
        <v>8</v>
      </c>
    </row>
    <row r="363" spans="1:27" ht="12.75" customHeight="1">
      <c r="A363" s="4">
        <f>IF(ISTEXT(E363),_xlfn.XLOOKUP(E363,'[1]SME09-01_LHM'!$D:$D,'[1]SME09-01_LHM'!$B:$B))</f>
        <v>487</v>
      </c>
      <c r="B363" s="4">
        <f>_xlfn.XLOOKUP(F363,'[1]SME09-01_LHM'!$I:$I,'[1]SME09-01_LHM'!$B:$B)</f>
        <v>487</v>
      </c>
      <c r="C363" s="22">
        <f>ROW()-25</f>
        <v>338</v>
      </c>
      <c r="D363" s="16" t="s">
        <v>622</v>
      </c>
      <c r="E363" s="16" t="s">
        <v>851</v>
      </c>
      <c r="F363" s="17" t="s">
        <v>850</v>
      </c>
      <c r="G363" s="17" t="s">
        <v>849</v>
      </c>
      <c r="H363" s="16" t="s">
        <v>8</v>
      </c>
      <c r="I363" s="16" t="s">
        <v>19</v>
      </c>
      <c r="J363" s="188" t="s">
        <v>18</v>
      </c>
      <c r="K363" s="181" t="s">
        <v>18</v>
      </c>
      <c r="L363" s="181" t="s">
        <v>18</v>
      </c>
      <c r="M363" s="186" t="s">
        <v>618</v>
      </c>
      <c r="N363" s="181" t="s">
        <v>183</v>
      </c>
      <c r="P363" s="105" t="s">
        <v>126</v>
      </c>
      <c r="Q363" s="105" t="s">
        <v>345</v>
      </c>
      <c r="R363" s="105" t="s">
        <v>10</v>
      </c>
      <c r="S363" s="104"/>
      <c r="T363" s="106" t="s">
        <v>24</v>
      </c>
      <c r="U363" s="106" t="s">
        <v>24</v>
      </c>
      <c r="V363" s="105" t="s">
        <v>24</v>
      </c>
      <c r="W363" s="3" t="s">
        <v>10</v>
      </c>
      <c r="X363" s="3" t="s">
        <v>10</v>
      </c>
      <c r="Y363" s="182" t="str">
        <f>_xlfn.LET(_xlpm.v,_xlfn.XLOOKUP(E363,'[1]SME09-01_LHM'!$D:$D,'[1]SME09-01_LHM'!$AL:$AL),IF(_xlpm.v=0,"",_xlpm.v))</f>
        <v>IBT-095</v>
      </c>
      <c r="Z363" s="104" t="str">
        <f>_xlfn.LET(_xlpm.v,IF(ISTEXT(Y363),_xlfn.XLOOKUP(Y363,'JP-PINT'!A:A,'JP-PINT'!B:B),""),IF(ISERROR(_xlpm.v),"",_xlpm.v))</f>
        <v>&gt; Document level allowance TAX category code</v>
      </c>
      <c r="AA363" s="23" t="s">
        <v>31</v>
      </c>
    </row>
    <row r="364" spans="1:27" ht="12.75" customHeight="1">
      <c r="A364" s="4">
        <f>IF(ISTEXT(E364),_xlfn.XLOOKUP(E364,'[1]SME09-01_LHM'!$D:$D,'[1]SME09-01_LHM'!$B:$B))</f>
        <v>450</v>
      </c>
      <c r="B364" s="4">
        <f>_xlfn.XLOOKUP(F364,'[1]SME09-01_LHM'!$I:$I,'[1]SME09-01_LHM'!$B:$B)</f>
        <v>450</v>
      </c>
      <c r="C364" s="22">
        <f>ROW()-25</f>
        <v>339</v>
      </c>
      <c r="D364" s="26" t="s">
        <v>622</v>
      </c>
      <c r="E364" s="26" t="s">
        <v>847</v>
      </c>
      <c r="F364" s="93" t="s">
        <v>2755</v>
      </c>
      <c r="G364" s="25" t="s">
        <v>846</v>
      </c>
      <c r="H364" s="26" t="s">
        <v>371</v>
      </c>
      <c r="I364" s="26" t="s">
        <v>74</v>
      </c>
      <c r="J364" s="201" t="s">
        <v>79</v>
      </c>
      <c r="K364" s="199" t="s">
        <v>79</v>
      </c>
      <c r="L364" s="199" t="s">
        <v>79</v>
      </c>
      <c r="M364" s="189"/>
      <c r="N364" s="181" t="s">
        <v>183</v>
      </c>
      <c r="P364" s="105" t="s">
        <v>126</v>
      </c>
      <c r="Q364" s="105" t="s">
        <v>804</v>
      </c>
      <c r="R364" s="105" t="s">
        <v>25</v>
      </c>
      <c r="S364" s="104"/>
      <c r="T364" s="106" t="s">
        <v>103</v>
      </c>
      <c r="U364" s="106" t="s">
        <v>24</v>
      </c>
      <c r="V364" s="105" t="s">
        <v>24</v>
      </c>
      <c r="W364" s="3" t="s">
        <v>25</v>
      </c>
      <c r="X364" s="3" t="s">
        <v>25</v>
      </c>
      <c r="Y364" s="182" t="str">
        <f>_xlfn.LET(_xlpm.v,_xlfn.XLOOKUP(E364,'[1]SME09-01_LHM'!$D:$D,'[1]SME09-01_LHM'!$AL:$AL),IF(_xlpm.v=0,"",_xlpm.v))</f>
        <v>IBG-23</v>
      </c>
      <c r="Z364" s="104" t="str">
        <f>_xlfn.LET(_xlpm.v,IF(ISTEXT(Y364),_xlfn.XLOOKUP(Y364,'JP-PINT'!A:A,'JP-PINT'!B:B),""),IF(ISERROR(_xlpm.v),"",_xlpm.v))</f>
        <v>TAX BREAKDOWN</v>
      </c>
      <c r="AA364" s="23" t="s">
        <v>371</v>
      </c>
    </row>
    <row r="365" spans="1:27" s="137" customFormat="1" ht="12.75" customHeight="1">
      <c r="A365" s="4">
        <f>IF(ISTEXT(E365),_xlfn.XLOOKUP(E365,'[1]SME09-01_LHM'!$D:$D,'[1]SME09-01_LHM'!$B:$B))</f>
        <v>452</v>
      </c>
      <c r="B365" s="4">
        <f>_xlfn.XLOOKUP(F365,'[1]SME09-01_LHM'!$I:$I,'[1]SME09-01_LHM'!$B:$B)</f>
        <v>452</v>
      </c>
      <c r="C365" s="102">
        <f>ROW()-25</f>
        <v>340</v>
      </c>
      <c r="D365" s="285" t="s">
        <v>622</v>
      </c>
      <c r="E365" s="285" t="s">
        <v>844</v>
      </c>
      <c r="F365" s="286" t="s">
        <v>843</v>
      </c>
      <c r="G365" s="286" t="s">
        <v>842</v>
      </c>
      <c r="H365" s="166" t="s">
        <v>8</v>
      </c>
      <c r="I365" s="285" t="s">
        <v>340</v>
      </c>
      <c r="J365" s="287" t="s">
        <v>80</v>
      </c>
      <c r="K365" s="285" t="s">
        <v>80</v>
      </c>
      <c r="L365" s="285" t="s">
        <v>80</v>
      </c>
      <c r="M365" s="288" t="s">
        <v>754</v>
      </c>
      <c r="N365" s="289" t="s">
        <v>183</v>
      </c>
      <c r="O365" s="136" t="s">
        <v>79</v>
      </c>
      <c r="P365" s="286" t="s">
        <v>126</v>
      </c>
      <c r="Q365" s="286" t="s">
        <v>799</v>
      </c>
      <c r="R365" s="286" t="s">
        <v>10</v>
      </c>
      <c r="S365" s="290" t="s">
        <v>815</v>
      </c>
      <c r="T365" s="287" t="s">
        <v>13</v>
      </c>
      <c r="U365" s="287" t="s">
        <v>814</v>
      </c>
      <c r="V365" s="286"/>
      <c r="W365" s="107" t="s">
        <v>10</v>
      </c>
      <c r="X365" s="107" t="s">
        <v>10</v>
      </c>
      <c r="Y365" s="192" t="str">
        <f>_xlfn.LET(_xlpm.v,_xlfn.XLOOKUP(E365,'[1]SME09-01_LHM'!$D:$D,'[1]SME09-01_LHM'!$AL:$AL),IF(_xlpm.v=0,"",_xlpm.v))</f>
        <v>IBT-117</v>
      </c>
      <c r="Z365" s="104" t="str">
        <f>_xlfn.LET(_xlpm.v,IF(ISTEXT(Y365),_xlfn.XLOOKUP(Y365,'JP-PINT'!A:A,'JP-PINT'!B:B),""),IF(ISERROR(_xlpm.v),"",_xlpm.v))</f>
        <v>&gt; TAX category tax amount</v>
      </c>
      <c r="AA365" s="138" t="s">
        <v>31</v>
      </c>
    </row>
    <row r="366" spans="1:27" ht="12.75" customHeight="1">
      <c r="A366" s="4">
        <f>IF(ISTEXT(E366),_xlfn.XLOOKUP(E366,'[1]SME09-01_LHM'!$D:$D,'[1]SME09-01_LHM'!$B:$B))</f>
        <v>453</v>
      </c>
      <c r="B366" s="4">
        <f>_xlfn.XLOOKUP(F366,'[1]SME09-01_LHM'!$I:$I,'[1]SME09-01_LHM'!$B:$B)</f>
        <v>453</v>
      </c>
      <c r="C366" s="22">
        <f>ROW()-25</f>
        <v>341</v>
      </c>
      <c r="D366" s="16" t="s">
        <v>622</v>
      </c>
      <c r="E366" s="16" t="s">
        <v>840</v>
      </c>
      <c r="F366" s="18" t="s">
        <v>839</v>
      </c>
      <c r="G366" s="18" t="s">
        <v>838</v>
      </c>
      <c r="H366" s="16" t="s">
        <v>8</v>
      </c>
      <c r="I366" s="21" t="s">
        <v>346</v>
      </c>
      <c r="J366" s="188" t="s">
        <v>18</v>
      </c>
      <c r="K366" s="181" t="s">
        <v>18</v>
      </c>
      <c r="L366" s="181" t="s">
        <v>18</v>
      </c>
      <c r="M366" s="186"/>
      <c r="N366" s="23" t="s">
        <v>24</v>
      </c>
      <c r="P366" s="105" t="s">
        <v>126</v>
      </c>
      <c r="Q366" s="104" t="s">
        <v>162</v>
      </c>
      <c r="R366" s="105" t="s">
        <v>10</v>
      </c>
      <c r="S366" s="104" t="s">
        <v>161</v>
      </c>
      <c r="T366" s="106" t="s">
        <v>158</v>
      </c>
      <c r="U366" s="106" t="s">
        <v>24</v>
      </c>
      <c r="V366" s="105"/>
      <c r="W366" s="3" t="s">
        <v>10</v>
      </c>
      <c r="X366" s="3" t="s">
        <v>10</v>
      </c>
      <c r="Y366" s="182" t="str">
        <f>_xlfn.LET(_xlpm.v,_xlfn.XLOOKUP(E366,'[1]SME09-01_LHM'!$D:$D,'[1]SME09-01_LHM'!$AL:$AL),IF(_xlpm.v=0,"",_xlpm.v))</f>
        <v/>
      </c>
      <c r="Z366" s="104" t="str">
        <f>_xlfn.LET(_xlpm.v,IF(ISTEXT(Y366),_xlfn.XLOOKUP(Y366,'JP-PINT'!A:A,'JP-PINT'!B:B),""),IF(ISERROR(_xlpm.v),"",_xlpm.v))</f>
        <v/>
      </c>
      <c r="AA366" s="23" t="s">
        <v>24</v>
      </c>
    </row>
    <row r="367" spans="1:27" ht="12.75" customHeight="1">
      <c r="A367" s="4">
        <f>IF(ISTEXT(E367),_xlfn.XLOOKUP(E367,'[1]SME09-01_LHM'!$D:$D,'[1]SME09-01_LHM'!$B:$B))</f>
        <v>455</v>
      </c>
      <c r="B367" s="4">
        <f>_xlfn.XLOOKUP(F367,'[1]SME09-01_LHM'!$I:$I,'[1]SME09-01_LHM'!$B:$B)</f>
        <v>455</v>
      </c>
      <c r="C367" s="18">
        <f>ROW()-25</f>
        <v>342</v>
      </c>
      <c r="D367" s="50" t="s">
        <v>622</v>
      </c>
      <c r="E367" s="50" t="s">
        <v>837</v>
      </c>
      <c r="F367" s="54" t="s">
        <v>836</v>
      </c>
      <c r="G367" s="291" t="s">
        <v>835</v>
      </c>
      <c r="H367" s="50" t="s">
        <v>8</v>
      </c>
      <c r="I367" s="50" t="s">
        <v>340</v>
      </c>
      <c r="J367" s="188" t="s">
        <v>80</v>
      </c>
      <c r="K367" s="181" t="s">
        <v>80</v>
      </c>
      <c r="L367" s="181" t="s">
        <v>80</v>
      </c>
      <c r="M367" s="186" t="s">
        <v>618</v>
      </c>
      <c r="N367" s="212" t="s">
        <v>183</v>
      </c>
      <c r="O367" s="7" t="s">
        <v>79</v>
      </c>
      <c r="P367" s="154" t="s">
        <v>126</v>
      </c>
      <c r="Q367" s="154" t="s">
        <v>361</v>
      </c>
      <c r="R367" s="154" t="s">
        <v>10</v>
      </c>
      <c r="S367" s="133" t="s">
        <v>815</v>
      </c>
      <c r="T367" s="155" t="s">
        <v>13</v>
      </c>
      <c r="U367" s="155" t="s">
        <v>814</v>
      </c>
      <c r="V367" s="154"/>
      <c r="W367" s="3" t="s">
        <v>10</v>
      </c>
      <c r="X367" s="3" t="s">
        <v>10</v>
      </c>
      <c r="Y367" s="182" t="str">
        <f>_xlfn.LET(_xlpm.v,_xlfn.XLOOKUP(E367,'[1]SME09-01_LHM'!$D:$D,'[1]SME09-01_LHM'!$AL:$AL),IF(_xlpm.v=0,"",_xlpm.v))</f>
        <v>IBT-116</v>
      </c>
      <c r="Z367" s="104" t="str">
        <f>_xlfn.LET(_xlpm.v,IF(ISTEXT(Y367),_xlfn.XLOOKUP(Y367,'JP-PINT'!A:A,'JP-PINT'!B:B),""),IF(ISERROR(_xlpm.v),"",_xlpm.v))</f>
        <v>&gt; TAX category taxable amount</v>
      </c>
      <c r="AA367" s="16" t="s">
        <v>31</v>
      </c>
    </row>
    <row r="368" spans="1:27" s="6" customFormat="1" ht="12.75" customHeight="1">
      <c r="A368" s="4">
        <f>IF(ISTEXT(E368),_xlfn.XLOOKUP(E368,'[1]SME09-01_LHM'!$D:$D,'[1]SME09-01_LHM'!$B:$B))</f>
        <v>456</v>
      </c>
      <c r="B368" s="4">
        <f>_xlfn.XLOOKUP(F368,'[1]SME09-01_LHM'!$I:$I,'[1]SME09-01_LHM'!$B:$B)</f>
        <v>456</v>
      </c>
      <c r="C368" s="22">
        <f>ROW()-25</f>
        <v>343</v>
      </c>
      <c r="D368" s="16" t="s">
        <v>622</v>
      </c>
      <c r="E368" s="16" t="s">
        <v>833</v>
      </c>
      <c r="F368" s="30" t="s">
        <v>832</v>
      </c>
      <c r="G368" s="18" t="s">
        <v>831</v>
      </c>
      <c r="H368" s="292" t="s">
        <v>31</v>
      </c>
      <c r="I368" s="70" t="s">
        <v>830</v>
      </c>
      <c r="J368" s="256" t="s">
        <v>142</v>
      </c>
      <c r="K368" s="212" t="s">
        <v>142</v>
      </c>
      <c r="L368" s="212" t="s">
        <v>142</v>
      </c>
      <c r="M368" s="257" t="s">
        <v>618</v>
      </c>
      <c r="N368" s="181" t="s">
        <v>183</v>
      </c>
      <c r="O368" s="293" t="s">
        <v>79</v>
      </c>
      <c r="P368" s="105" t="s">
        <v>126</v>
      </c>
      <c r="Q368" s="105" t="s">
        <v>156</v>
      </c>
      <c r="R368" s="105" t="s">
        <v>10</v>
      </c>
      <c r="S368" s="198" t="s">
        <v>159</v>
      </c>
      <c r="T368" s="71" t="s">
        <v>158</v>
      </c>
      <c r="U368" s="71" t="s">
        <v>312</v>
      </c>
      <c r="V368" s="105" t="s">
        <v>355</v>
      </c>
      <c r="W368" s="294" t="s">
        <v>10</v>
      </c>
      <c r="X368" s="294" t="s">
        <v>10</v>
      </c>
      <c r="Y368" s="182" t="str">
        <f>_xlfn.LET(_xlpm.v,_xlfn.XLOOKUP(E368,'[1]SME09-01_LHM'!$D:$D,'[1]SME09-01_LHM'!$AL:$AL),IF(_xlpm.v=0,"",_xlpm.v))</f>
        <v>IBT-118</v>
      </c>
      <c r="Z368" s="104" t="str">
        <f>_xlfn.LET(_xlpm.v,IF(ISTEXT(Y368),_xlfn.XLOOKUP(Y368,'JP-PINT'!A:A,'JP-PINT'!B:B),""),IF(ISERROR(_xlpm.v),"",_xlpm.v))</f>
        <v>&gt; TAX category code</v>
      </c>
      <c r="AA368" s="295" t="s">
        <v>31</v>
      </c>
    </row>
    <row r="369" spans="1:27" s="296" customFormat="1" ht="12.75" customHeight="1">
      <c r="A369" s="4">
        <f>IF(ISTEXT(E369),_xlfn.XLOOKUP(E369,'[1]SME09-01_LHM'!$D:$D,'[1]SME09-01_LHM'!$B:$B))</f>
        <v>457</v>
      </c>
      <c r="B369" s="4">
        <f>_xlfn.XLOOKUP(F369,'[1]SME09-01_LHM'!$I:$I,'[1]SME09-01_LHM'!$B:$B)</f>
        <v>457</v>
      </c>
      <c r="C369" s="22">
        <f>ROW()-25</f>
        <v>344</v>
      </c>
      <c r="D369" s="16" t="s">
        <v>622</v>
      </c>
      <c r="E369" s="16" t="s">
        <v>828</v>
      </c>
      <c r="F369" s="30" t="s">
        <v>827</v>
      </c>
      <c r="G369" s="49" t="s">
        <v>826</v>
      </c>
      <c r="H369" s="50" t="s">
        <v>8</v>
      </c>
      <c r="I369" s="70" t="s">
        <v>143</v>
      </c>
      <c r="J369" s="297" t="s">
        <v>66</v>
      </c>
      <c r="K369" s="297" t="s">
        <v>66</v>
      </c>
      <c r="L369" s="297" t="s">
        <v>66</v>
      </c>
      <c r="M369" s="298"/>
      <c r="N369" s="181" t="s">
        <v>588</v>
      </c>
      <c r="O369" s="246"/>
      <c r="P369" s="105" t="s">
        <v>126</v>
      </c>
      <c r="Q369" s="105" t="s">
        <v>783</v>
      </c>
      <c r="R369" s="105" t="s">
        <v>10</v>
      </c>
      <c r="S369" s="198" t="s">
        <v>740</v>
      </c>
      <c r="T369" s="71" t="s">
        <v>13</v>
      </c>
      <c r="U369" s="71" t="s">
        <v>367</v>
      </c>
      <c r="V369" s="66" t="s">
        <v>738</v>
      </c>
      <c r="W369" s="247" t="s">
        <v>10</v>
      </c>
      <c r="X369" s="247" t="s">
        <v>10</v>
      </c>
      <c r="Y369" s="182" t="str">
        <f>_xlfn.LET(_xlpm.v,_xlfn.XLOOKUP(E369,'[1]SME09-01_LHM'!$D:$D,'[1]SME09-01_LHM'!$AL:$AL),IF(_xlpm.v=0,"",_xlpm.v))</f>
        <v/>
      </c>
      <c r="Z369" s="104" t="str">
        <f>_xlfn.LET(_xlpm.v,IF(ISTEXT(Y369),_xlfn.XLOOKUP(Y369,'JP-PINT'!A:A,'JP-PINT'!B:B),""),IF(ISERROR(_xlpm.v),"",_xlpm.v))</f>
        <v/>
      </c>
      <c r="AA369" s="23" t="s">
        <v>24</v>
      </c>
    </row>
    <row r="370" spans="1:27" s="253" customFormat="1" ht="12.75" customHeight="1">
      <c r="A370" s="4">
        <f>IF(ISTEXT(E370),_xlfn.XLOOKUP(E370,'[1]SME09-01_LHM'!$D:$D,'[1]SME09-01_LHM'!$B:$B))</f>
        <v>458</v>
      </c>
      <c r="B370" s="4">
        <f>_xlfn.XLOOKUP(F370,'[1]SME09-01_LHM'!$I:$I,'[1]SME09-01_LHM'!$B:$B)</f>
        <v>458</v>
      </c>
      <c r="C370" s="22">
        <f>ROW()-25</f>
        <v>345</v>
      </c>
      <c r="D370" s="16" t="s">
        <v>622</v>
      </c>
      <c r="E370" s="31" t="s">
        <v>825</v>
      </c>
      <c r="F370" s="30" t="s">
        <v>824</v>
      </c>
      <c r="G370" s="30" t="s">
        <v>823</v>
      </c>
      <c r="H370" s="16" t="s">
        <v>8</v>
      </c>
      <c r="I370" s="16" t="s">
        <v>340</v>
      </c>
      <c r="J370" s="256" t="s">
        <v>18</v>
      </c>
      <c r="K370" s="212" t="s">
        <v>18</v>
      </c>
      <c r="L370" s="212" t="s">
        <v>18</v>
      </c>
      <c r="M370" s="257"/>
      <c r="N370" s="23" t="s">
        <v>24</v>
      </c>
      <c r="O370" s="7"/>
      <c r="P370" s="105" t="s">
        <v>126</v>
      </c>
      <c r="Q370" s="105" t="s">
        <v>350</v>
      </c>
      <c r="R370" s="105" t="s">
        <v>10</v>
      </c>
      <c r="S370" s="104"/>
      <c r="T370" s="106"/>
      <c r="U370" s="106" t="s">
        <v>24</v>
      </c>
      <c r="V370" s="105" t="s">
        <v>24</v>
      </c>
      <c r="W370" s="3" t="s">
        <v>10</v>
      </c>
      <c r="X370" s="3" t="s">
        <v>10</v>
      </c>
      <c r="Y370" s="182" t="str">
        <f>_xlfn.LET(_xlpm.v,_xlfn.XLOOKUP(E370,'[1]SME09-01_LHM'!$D:$D,'[1]SME09-01_LHM'!$AL:$AL),IF(_xlpm.v=0,"",_xlpm.v))</f>
        <v/>
      </c>
      <c r="Z370" s="104" t="str">
        <f>_xlfn.LET(_xlpm.v,IF(ISTEXT(Y370),_xlfn.XLOOKUP(Y370,'JP-PINT'!A:A,'JP-PINT'!B:B),""),IF(ISERROR(_xlpm.v),"",_xlpm.v))</f>
        <v/>
      </c>
      <c r="AA370" s="23" t="s">
        <v>24</v>
      </c>
    </row>
    <row r="371" spans="1:27" s="6" customFormat="1" ht="12.75" customHeight="1">
      <c r="A371" s="4">
        <f>IF(ISTEXT(E371),_xlfn.XLOOKUP(E371,'[1]SME09-01_LHM'!$D:$D,'[1]SME09-01_LHM'!$B:$B))</f>
        <v>454</v>
      </c>
      <c r="B371" s="4">
        <f>_xlfn.XLOOKUP(F371,'[1]SME09-01_LHM'!$I:$I,'[1]SME09-01_LHM'!$B:$B)</f>
        <v>454</v>
      </c>
      <c r="C371" s="22">
        <f>ROW()-25</f>
        <v>346</v>
      </c>
      <c r="D371" s="212" t="s">
        <v>622</v>
      </c>
      <c r="E371" s="212" t="s">
        <v>822</v>
      </c>
      <c r="F371" s="255" t="s">
        <v>821</v>
      </c>
      <c r="G371" s="255" t="s">
        <v>820</v>
      </c>
      <c r="H371" s="50" t="s">
        <v>8</v>
      </c>
      <c r="I371" s="212" t="s">
        <v>346</v>
      </c>
      <c r="J371" s="256" t="s">
        <v>142</v>
      </c>
      <c r="K371" s="212" t="s">
        <v>142</v>
      </c>
      <c r="L371" s="212" t="s">
        <v>142</v>
      </c>
      <c r="M371" s="257" t="s">
        <v>618</v>
      </c>
      <c r="N371" s="212" t="s">
        <v>46</v>
      </c>
      <c r="O371" s="53" t="s">
        <v>79</v>
      </c>
      <c r="P371" s="217" t="s">
        <v>126</v>
      </c>
      <c r="Q371" s="217" t="s">
        <v>277</v>
      </c>
      <c r="R371" s="217" t="s">
        <v>10</v>
      </c>
      <c r="S371" s="218"/>
      <c r="T371" s="219" t="s">
        <v>133</v>
      </c>
      <c r="U371" s="219" t="s">
        <v>24</v>
      </c>
      <c r="V371" s="217" t="s">
        <v>24</v>
      </c>
      <c r="W371" s="52" t="s">
        <v>10</v>
      </c>
      <c r="X371" s="52" t="s">
        <v>10</v>
      </c>
      <c r="Y371" s="182" t="str">
        <f>_xlfn.LET(_xlpm.v,_xlfn.XLOOKUP(E371,'[1]SME09-01_LHM'!$D:$D,'[1]SME09-01_LHM'!$AL:$AL),IF(_xlpm.v=0,"",_xlpm.v))</f>
        <v>IBT-119</v>
      </c>
      <c r="Z371" s="104" t="str">
        <f>_xlfn.LET(_xlpm.v,IF(ISTEXT(Y371),_xlfn.XLOOKUP(Y371,'JP-PINT'!A:A,'JP-PINT'!B:B),""),IF(ISERROR(_xlpm.v),"",_xlpm.v))</f>
        <v>&gt; TAX category rate</v>
      </c>
      <c r="AA371" s="51" t="s">
        <v>8</v>
      </c>
    </row>
    <row r="372" spans="1:27" s="299" customFormat="1" ht="12.75" customHeight="1">
      <c r="A372" s="4">
        <f>IF(ISTEXT(E372),_xlfn.XLOOKUP(E372,'[1]SME09-01_LHM'!$D:$D,'[1]SME09-01_LHM'!$B:$B))</f>
        <v>459</v>
      </c>
      <c r="B372" s="4">
        <f>_xlfn.XLOOKUP(F372,'[1]SME09-01_LHM'!$I:$I,'[1]SME09-01_LHM'!$B:$B)</f>
        <v>459</v>
      </c>
      <c r="C372" s="22">
        <f>ROW()-25</f>
        <v>347</v>
      </c>
      <c r="D372" s="292" t="s">
        <v>622</v>
      </c>
      <c r="E372" s="300" t="s">
        <v>818</v>
      </c>
      <c r="F372" s="301" t="s">
        <v>817</v>
      </c>
      <c r="G372" s="302" t="s">
        <v>816</v>
      </c>
      <c r="H372" s="50" t="s">
        <v>8</v>
      </c>
      <c r="I372" s="292" t="s">
        <v>340</v>
      </c>
      <c r="J372" s="297" t="s">
        <v>66</v>
      </c>
      <c r="K372" s="297" t="s">
        <v>66</v>
      </c>
      <c r="L372" s="297" t="s">
        <v>66</v>
      </c>
      <c r="M372" s="298"/>
      <c r="N372" s="23" t="s">
        <v>24</v>
      </c>
      <c r="O372" s="7" t="s">
        <v>79</v>
      </c>
      <c r="P372" s="286" t="s">
        <v>126</v>
      </c>
      <c r="Q372" s="286" t="s">
        <v>338</v>
      </c>
      <c r="R372" s="286" t="s">
        <v>10</v>
      </c>
      <c r="S372" s="290" t="s">
        <v>815</v>
      </c>
      <c r="T372" s="287" t="s">
        <v>13</v>
      </c>
      <c r="U372" s="155" t="s">
        <v>814</v>
      </c>
      <c r="V372" s="286"/>
      <c r="W372" s="3" t="s">
        <v>10</v>
      </c>
      <c r="X372" s="3" t="s">
        <v>10</v>
      </c>
      <c r="Y372" s="182" t="str">
        <f>_xlfn.LET(_xlpm.v,_xlfn.XLOOKUP(E372,'[1]SME09-01_LHM'!$D:$D,'[1]SME09-01_LHM'!$AL:$AL),IF(_xlpm.v=0,"",_xlpm.v))</f>
        <v/>
      </c>
      <c r="Z372" s="104" t="str">
        <f>_xlfn.LET(_xlpm.v,IF(ISTEXT(Y372),_xlfn.XLOOKUP(Y372,'JP-PINT'!A:A,'JP-PINT'!B:B),""),IF(ISERROR(_xlpm.v),"",_xlpm.v))</f>
        <v/>
      </c>
      <c r="AA372" s="23" t="s">
        <v>24</v>
      </c>
    </row>
    <row r="373" spans="1:27" ht="12.75" customHeight="1">
      <c r="A373" s="4">
        <f>IF(ISTEXT(E373),_xlfn.XLOOKUP(E373,'[1]SME09-01_LHM'!$D:$D,'[1]SME09-01_LHM'!$B:$B))</f>
        <v>460</v>
      </c>
      <c r="B373" s="4">
        <f>_xlfn.XLOOKUP(F373,'[1]SME09-01_LHM'!$I:$I,'[1]SME09-01_LHM'!$B:$B)</f>
        <v>460</v>
      </c>
      <c r="C373" s="22">
        <f>ROW()-25</f>
        <v>348</v>
      </c>
      <c r="D373" s="292" t="s">
        <v>622</v>
      </c>
      <c r="E373" s="31" t="s">
        <v>813</v>
      </c>
      <c r="F373" s="30" t="s">
        <v>812</v>
      </c>
      <c r="G373" s="30" t="s">
        <v>811</v>
      </c>
      <c r="H373" s="50" t="s">
        <v>8</v>
      </c>
      <c r="I373" s="16" t="s">
        <v>810</v>
      </c>
      <c r="J373" s="297" t="s">
        <v>66</v>
      </c>
      <c r="K373" s="303" t="s">
        <v>66</v>
      </c>
      <c r="L373" s="303" t="s">
        <v>66</v>
      </c>
      <c r="M373" s="298" t="s">
        <v>618</v>
      </c>
      <c r="N373" s="23" t="s">
        <v>24</v>
      </c>
      <c r="P373" s="286" t="s">
        <v>126</v>
      </c>
      <c r="Q373" s="104" t="s">
        <v>809</v>
      </c>
      <c r="R373" s="105" t="s">
        <v>10</v>
      </c>
      <c r="S373" s="104" t="s">
        <v>64</v>
      </c>
      <c r="T373" s="103" t="s">
        <v>63</v>
      </c>
      <c r="U373" s="106" t="s">
        <v>312</v>
      </c>
      <c r="V373" s="105"/>
      <c r="W373" s="3" t="s">
        <v>10</v>
      </c>
      <c r="X373" s="3" t="s">
        <v>10</v>
      </c>
      <c r="Y373" s="182" t="str">
        <f>_xlfn.LET(_xlpm.v,_xlfn.XLOOKUP(E373,'[1]SME09-01_LHM'!$D:$D,'[1]SME09-01_LHM'!$AL:$AL),IF(_xlpm.v=0,"",_xlpm.v))</f>
        <v/>
      </c>
      <c r="Z373" s="104" t="str">
        <f>_xlfn.LET(_xlpm.v,IF(ISTEXT(Y373),_xlfn.XLOOKUP(Y373,'JP-PINT'!A:A,'JP-PINT'!B:B),""),IF(ISERROR(_xlpm.v),"",_xlpm.v))</f>
        <v/>
      </c>
      <c r="AA373" s="23" t="s">
        <v>24</v>
      </c>
    </row>
    <row r="374" spans="1:27" ht="12.75" customHeight="1">
      <c r="A374" s="4">
        <f>IF(ISTEXT(E374),_xlfn.XLOOKUP(E374,'[1]SME09-01_LHM'!$D:$D,'[1]SME09-01_LHM'!$B:$B))</f>
        <v>461</v>
      </c>
      <c r="B374" s="4">
        <f>_xlfn.XLOOKUP(F374,'[1]SME09-01_LHM'!$I:$I,'[1]SME09-01_LHM'!$B:$B)</f>
        <v>461</v>
      </c>
      <c r="C374" s="22">
        <f>ROW()-25</f>
        <v>349</v>
      </c>
      <c r="D374" s="212" t="s">
        <v>622</v>
      </c>
      <c r="E374" s="31" t="s">
        <v>808</v>
      </c>
      <c r="F374" s="30" t="s">
        <v>807</v>
      </c>
      <c r="G374" s="30" t="s">
        <v>775</v>
      </c>
      <c r="H374" s="31" t="s">
        <v>8</v>
      </c>
      <c r="I374" s="16" t="s">
        <v>143</v>
      </c>
      <c r="J374" s="297" t="s">
        <v>18</v>
      </c>
      <c r="K374" s="303" t="s">
        <v>18</v>
      </c>
      <c r="L374" s="303" t="s">
        <v>18</v>
      </c>
      <c r="M374" s="298"/>
      <c r="N374" s="23" t="s">
        <v>24</v>
      </c>
      <c r="O374" s="246"/>
      <c r="P374" s="217" t="s">
        <v>126</v>
      </c>
      <c r="Q374" s="104" t="s">
        <v>334</v>
      </c>
      <c r="R374" s="105" t="s">
        <v>10</v>
      </c>
      <c r="S374" s="104" t="s">
        <v>64</v>
      </c>
      <c r="T374" s="106" t="s">
        <v>63</v>
      </c>
      <c r="U374" s="106" t="s">
        <v>24</v>
      </c>
      <c r="V374" s="105" t="s">
        <v>24</v>
      </c>
      <c r="W374" s="247" t="s">
        <v>10</v>
      </c>
      <c r="X374" s="247" t="s">
        <v>10</v>
      </c>
      <c r="Y374" s="182" t="str">
        <f>_xlfn.LET(_xlpm.v,_xlfn.XLOOKUP(E374,'[1]SME09-01_LHM'!$D:$D,'[1]SME09-01_LHM'!$AL:$AL),IF(_xlpm.v=0,"",_xlpm.v))</f>
        <v/>
      </c>
      <c r="Z374" s="104" t="str">
        <f>_xlfn.LET(_xlpm.v,IF(ISTEXT(Y374),_xlfn.XLOOKUP(Y374,'JP-PINT'!A:A,'JP-PINT'!B:B),""),IF(ISERROR(_xlpm.v),"",_xlpm.v))</f>
        <v/>
      </c>
      <c r="AA374" s="23" t="s">
        <v>24</v>
      </c>
    </row>
    <row r="375" spans="1:27" s="249" customFormat="1" ht="12.75" customHeight="1">
      <c r="A375" s="4">
        <f>IF(ISTEXT(E375),_xlfn.XLOOKUP(E375,'[1]SME09-01_LHM'!$D:$D,'[1]SME09-01_LHM'!$B:$B))</f>
        <v>462</v>
      </c>
      <c r="B375" s="4">
        <f>_xlfn.XLOOKUP(F375,'[1]SME09-01_LHM'!$I:$I,'[1]SME09-01_LHM'!$B:$B)</f>
        <v>462</v>
      </c>
      <c r="C375" s="22">
        <f>ROW()-25</f>
        <v>350</v>
      </c>
      <c r="D375" s="26" t="s">
        <v>622</v>
      </c>
      <c r="E375" s="26" t="s">
        <v>806</v>
      </c>
      <c r="F375" s="93" t="s">
        <v>2756</v>
      </c>
      <c r="G375" s="25" t="s">
        <v>805</v>
      </c>
      <c r="H375" s="26" t="s">
        <v>43</v>
      </c>
      <c r="I375" s="26" t="s">
        <v>19</v>
      </c>
      <c r="J375" s="201" t="s">
        <v>66</v>
      </c>
      <c r="K375" s="199" t="s">
        <v>66</v>
      </c>
      <c r="L375" s="199" t="s">
        <v>66</v>
      </c>
      <c r="M375" s="189"/>
      <c r="N375" s="181" t="s">
        <v>46</v>
      </c>
      <c r="O375" s="7"/>
      <c r="P375" s="105" t="s">
        <v>126</v>
      </c>
      <c r="Q375" s="105" t="s">
        <v>804</v>
      </c>
      <c r="R375" s="105" t="s">
        <v>25</v>
      </c>
      <c r="S375" s="104"/>
      <c r="T375" s="106" t="s">
        <v>103</v>
      </c>
      <c r="U375" s="106" t="s">
        <v>24</v>
      </c>
      <c r="V375" s="105" t="s">
        <v>24</v>
      </c>
      <c r="W375" s="3" t="s">
        <v>25</v>
      </c>
      <c r="X375" s="3" t="s">
        <v>25</v>
      </c>
      <c r="Y375" s="182" t="str">
        <f>_xlfn.LET(_xlpm.v,_xlfn.XLOOKUP(E375,'[1]SME09-01_LHM'!$D:$D,'[1]SME09-01_LHM'!$AL:$AL),IF(_xlpm.v=0,"",_xlpm.v))</f>
        <v>IBG-38</v>
      </c>
      <c r="Z375" s="104" t="str">
        <f>_xlfn.LET(_xlpm.v,IF(ISTEXT(Y375),_xlfn.XLOOKUP(Y375,'JP-PINT'!A:A,'JP-PINT'!B:B),""),IF(ISERROR(_xlpm.v),"",_xlpm.v))</f>
        <v>&gt; TAX BREAKDOWN IN ACCOUNTING CURRENCY</v>
      </c>
      <c r="AA375" s="23" t="s">
        <v>8</v>
      </c>
    </row>
    <row r="376" spans="1:27" s="137" customFormat="1" ht="12.75" customHeight="1">
      <c r="A376" s="4">
        <f>IF(ISTEXT(E376),_xlfn.XLOOKUP(E376,'[1]SME09-01_LHM'!$D:$D,'[1]SME09-01_LHM'!$B:$B))</f>
        <v>464</v>
      </c>
      <c r="B376" s="4">
        <f>_xlfn.XLOOKUP(F376,'[1]SME09-01_LHM'!$I:$I,'[1]SME09-01_LHM'!$B:$B)</f>
        <v>464</v>
      </c>
      <c r="C376" s="102">
        <f>ROW()-25</f>
        <v>351</v>
      </c>
      <c r="D376" s="285" t="s">
        <v>622</v>
      </c>
      <c r="E376" s="285" t="s">
        <v>802</v>
      </c>
      <c r="F376" s="286" t="s">
        <v>801</v>
      </c>
      <c r="G376" s="286" t="s">
        <v>800</v>
      </c>
      <c r="H376" s="166" t="s">
        <v>8</v>
      </c>
      <c r="I376" s="103" t="s">
        <v>19</v>
      </c>
      <c r="J376" s="287" t="s">
        <v>66</v>
      </c>
      <c r="K376" s="285" t="s">
        <v>66</v>
      </c>
      <c r="L376" s="285" t="s">
        <v>66</v>
      </c>
      <c r="M376" s="288"/>
      <c r="N376" s="289" t="s">
        <v>46</v>
      </c>
      <c r="O376" s="136"/>
      <c r="P376" s="286" t="s">
        <v>126</v>
      </c>
      <c r="Q376" s="286" t="s">
        <v>799</v>
      </c>
      <c r="R376" s="286" t="s">
        <v>10</v>
      </c>
      <c r="S376" s="290" t="s">
        <v>740</v>
      </c>
      <c r="T376" s="287" t="s">
        <v>13</v>
      </c>
      <c r="U376" s="287" t="s">
        <v>793</v>
      </c>
      <c r="V376" s="286" t="s">
        <v>792</v>
      </c>
      <c r="W376" s="107" t="s">
        <v>10</v>
      </c>
      <c r="X376" s="107" t="s">
        <v>10</v>
      </c>
      <c r="Y376" s="192" t="str">
        <f>_xlfn.LET(_xlpm.v,_xlfn.XLOOKUP(E376,'[1]SME09-01_LHM'!$D:$D,'[1]SME09-01_LHM'!$AL:$AL),IF(_xlpm.v=0,"",_xlpm.v))</f>
        <v>IBT-117</v>
      </c>
      <c r="Z376" s="104" t="str">
        <f>_xlfn.LET(_xlpm.v,IF(ISTEXT(Y376),_xlfn.XLOOKUP(Y376,'JP-PINT'!A:A,'JP-PINT'!B:B),""),IF(ISERROR(_xlpm.v),"",_xlpm.v))</f>
        <v>&gt; TAX category tax amount</v>
      </c>
      <c r="AA376" s="138" t="s">
        <v>8</v>
      </c>
    </row>
    <row r="377" spans="1:27" s="304" customFormat="1" ht="12.75" customHeight="1">
      <c r="A377" s="4">
        <f>IF(ISTEXT(E377),_xlfn.XLOOKUP(E377,'[1]SME09-01_LHM'!$D:$D,'[1]SME09-01_LHM'!$B:$B))</f>
        <v>506</v>
      </c>
      <c r="B377" s="4">
        <f>_xlfn.XLOOKUP(F377,'[1]SME09-01_LHM'!$I:$I,'[1]SME09-01_LHM'!$B:$B)</f>
        <v>506</v>
      </c>
      <c r="C377" s="116">
        <f>ROW()-25</f>
        <v>352</v>
      </c>
      <c r="D377" s="305" t="s">
        <v>736</v>
      </c>
      <c r="E377" s="306" t="s">
        <v>797</v>
      </c>
      <c r="F377" s="307" t="s">
        <v>734</v>
      </c>
      <c r="G377" s="307" t="s">
        <v>733</v>
      </c>
      <c r="H377" s="117" t="s">
        <v>31</v>
      </c>
      <c r="I377" s="118" t="s">
        <v>127</v>
      </c>
      <c r="J377" s="308" t="s">
        <v>66</v>
      </c>
      <c r="K377" s="308" t="s">
        <v>66</v>
      </c>
      <c r="L377" s="308" t="s">
        <v>66</v>
      </c>
      <c r="M377" s="309"/>
      <c r="N377" s="310"/>
      <c r="O377" s="111"/>
      <c r="P377" s="311" t="s">
        <v>126</v>
      </c>
      <c r="Q377" s="312"/>
      <c r="R377" s="311" t="s">
        <v>430</v>
      </c>
      <c r="S377" s="313"/>
      <c r="T377" s="314"/>
      <c r="U377" s="314"/>
      <c r="V377" s="312"/>
      <c r="W377" s="112" t="s">
        <v>429</v>
      </c>
      <c r="X377" s="112" t="s">
        <v>429</v>
      </c>
      <c r="Y377" s="182" t="str">
        <f>_xlfn.LET(_xlpm.v,_xlfn.XLOOKUP(E377,'[1]SME09-01_LHM'!$D:$D,'[1]SME09-01_LHM'!$AL:$AL),IF(_xlpm.v=0,"",_xlpm.v))</f>
        <v/>
      </c>
      <c r="Z377" s="104" t="str">
        <f>_xlfn.LET(_xlpm.v,IF(ISTEXT(Y377),_xlfn.XLOOKUP(Y377,'JP-PINT'!A:A,'JP-PINT'!B:B),""),IF(ISERROR(_xlpm.v),"",_xlpm.v))</f>
        <v/>
      </c>
      <c r="AA377" s="118"/>
    </row>
    <row r="378" spans="1:27" s="45" customFormat="1" ht="12.75" customHeight="1">
      <c r="A378" s="4">
        <f>IF(ISTEXT(E378),_xlfn.XLOOKUP(E378,'[1]SME09-01_LHM'!$D:$D,'[1]SME09-01_LHM'!$B:$B))</f>
        <v>0</v>
      </c>
      <c r="B378" s="4">
        <f>_xlfn.XLOOKUP(F378,'[1]SME09-01_LHM'!$I:$I,'[1]SME09-01_LHM'!$B:$B)</f>
        <v>0</v>
      </c>
      <c r="C378" s="22">
        <f>ROW()-25</f>
        <v>353</v>
      </c>
      <c r="D378" s="50" t="s">
        <v>736</v>
      </c>
      <c r="E378" s="50" t="s">
        <v>796</v>
      </c>
      <c r="F378" s="54" t="s">
        <v>795</v>
      </c>
      <c r="G378" s="54" t="s">
        <v>794</v>
      </c>
      <c r="H378" s="50" t="s">
        <v>8</v>
      </c>
      <c r="I378" s="16" t="s">
        <v>19</v>
      </c>
      <c r="J378" s="315" t="s">
        <v>66</v>
      </c>
      <c r="K378" s="315" t="s">
        <v>66</v>
      </c>
      <c r="L378" s="315" t="s">
        <v>66</v>
      </c>
      <c r="M378" s="316"/>
      <c r="N378" s="212" t="s">
        <v>398</v>
      </c>
      <c r="O378" s="7"/>
      <c r="P378" s="286" t="s">
        <v>126</v>
      </c>
      <c r="Q378" s="154" t="s">
        <v>361</v>
      </c>
      <c r="R378" s="154" t="s">
        <v>10</v>
      </c>
      <c r="S378" s="133" t="s">
        <v>740</v>
      </c>
      <c r="T378" s="155" t="s">
        <v>13</v>
      </c>
      <c r="U378" s="287" t="s">
        <v>793</v>
      </c>
      <c r="V378" s="286" t="s">
        <v>792</v>
      </c>
      <c r="W378" s="3" t="s">
        <v>10</v>
      </c>
      <c r="X378" s="3" t="s">
        <v>10</v>
      </c>
      <c r="Y378" s="182" t="str">
        <f>_xlfn.LET(_xlpm.v,_xlfn.XLOOKUP(E378,'[1]SME09-01_LHM'!$D:$D,'[1]SME09-01_LHM'!$AL:$AL),IF(_xlpm.v=0,"",_xlpm.v))</f>
        <v>IBT-190</v>
      </c>
      <c r="Z378" s="104" t="str">
        <f>_xlfn.LET(_xlpm.v,IF(ISTEXT(Y378),_xlfn.XLOOKUP(Y378,'JP-PINT'!A:A,'JP-PINT'!B:B),""),IF(ISERROR(_xlpm.v),"",_xlpm.v))</f>
        <v>&gt;&gt; TAX category tax amount in accounting currency</v>
      </c>
      <c r="AA378" s="23" t="s">
        <v>103</v>
      </c>
    </row>
    <row r="379" spans="1:27" s="304" customFormat="1" ht="12.75" customHeight="1">
      <c r="A379" s="4" t="e">
        <f>IF(ISTEXT(E379),_xlfn.XLOOKUP(E379,'[1]SME09-01_LHM'!$D:$D,'[1]SME09-01_LHM'!$B:$B))</f>
        <v>#N/A</v>
      </c>
      <c r="B379" s="4">
        <f>_xlfn.XLOOKUP(F379,'[1]SME09-01_LHM'!$I:$I,'[1]SME09-01_LHM'!$B:$B)</f>
        <v>506</v>
      </c>
      <c r="C379" s="116">
        <f>ROW()-25</f>
        <v>354</v>
      </c>
      <c r="D379" s="117" t="s">
        <v>736</v>
      </c>
      <c r="E379" s="306" t="s">
        <v>791</v>
      </c>
      <c r="F379" s="119" t="s">
        <v>734</v>
      </c>
      <c r="G379" s="119" t="s">
        <v>733</v>
      </c>
      <c r="H379" s="117" t="s">
        <v>31</v>
      </c>
      <c r="I379" s="118" t="s">
        <v>127</v>
      </c>
      <c r="J379" s="308" t="s">
        <v>66</v>
      </c>
      <c r="K379" s="308" t="s">
        <v>66</v>
      </c>
      <c r="L379" s="308" t="s">
        <v>66</v>
      </c>
      <c r="M379" s="309"/>
      <c r="N379" s="317"/>
      <c r="O379" s="111"/>
      <c r="P379" s="311" t="s">
        <v>126</v>
      </c>
      <c r="Q379" s="318"/>
      <c r="R379" s="319" t="s">
        <v>430</v>
      </c>
      <c r="S379" s="156"/>
      <c r="T379" s="157"/>
      <c r="U379" s="314"/>
      <c r="V379" s="312"/>
      <c r="W379" s="112" t="s">
        <v>429</v>
      </c>
      <c r="X379" s="112" t="s">
        <v>429</v>
      </c>
      <c r="Y379" s="182"/>
      <c r="Z379" s="104" t="str">
        <f>_xlfn.LET(_xlpm.v,IF(ISTEXT(Y379),_xlfn.XLOOKUP(Y379,'JP-PINT'!A:A,'JP-PINT'!B:B),""),IF(ISERROR(_xlpm.v),"",_xlpm.v))</f>
        <v/>
      </c>
      <c r="AA379" s="118"/>
    </row>
    <row r="380" spans="1:27" s="45" customFormat="1" ht="12.75" customHeight="1">
      <c r="A380" s="4">
        <f>IF(ISTEXT(E380),_xlfn.XLOOKUP(E380,'[1]SME09-01_LHM'!$D:$D,'[1]SME09-01_LHM'!$B:$B))</f>
        <v>469</v>
      </c>
      <c r="B380" s="4">
        <f>_xlfn.XLOOKUP(F380,'[1]SME09-01_LHM'!$I:$I,'[1]SME09-01_LHM'!$B:$B)</f>
        <v>469</v>
      </c>
      <c r="C380" s="22">
        <f>ROW()-25</f>
        <v>355</v>
      </c>
      <c r="D380" s="16" t="s">
        <v>622</v>
      </c>
      <c r="E380" s="16" t="s">
        <v>790</v>
      </c>
      <c r="F380" s="30" t="s">
        <v>789</v>
      </c>
      <c r="G380" s="18" t="s">
        <v>788</v>
      </c>
      <c r="H380" s="292" t="s">
        <v>31</v>
      </c>
      <c r="I380" s="16" t="s">
        <v>19</v>
      </c>
      <c r="J380" s="188" t="s">
        <v>66</v>
      </c>
      <c r="K380" s="188" t="s">
        <v>66</v>
      </c>
      <c r="L380" s="188" t="s">
        <v>66</v>
      </c>
      <c r="M380" s="186"/>
      <c r="N380" s="181" t="s">
        <v>183</v>
      </c>
      <c r="O380" s="293"/>
      <c r="P380" s="105" t="s">
        <v>126</v>
      </c>
      <c r="Q380" s="105" t="s">
        <v>156</v>
      </c>
      <c r="R380" s="105" t="s">
        <v>10</v>
      </c>
      <c r="S380" s="198" t="s">
        <v>159</v>
      </c>
      <c r="T380" s="71" t="s">
        <v>158</v>
      </c>
      <c r="U380" s="71" t="s">
        <v>312</v>
      </c>
      <c r="V380" s="66" t="s">
        <v>355</v>
      </c>
      <c r="W380" s="294" t="s">
        <v>10</v>
      </c>
      <c r="X380" s="294" t="s">
        <v>10</v>
      </c>
      <c r="Y380" s="182" t="str">
        <f>_xlfn.LET(_xlpm.v,_xlfn.XLOOKUP(E380,'[1]SME09-01_LHM'!$D:$D,'[1]SME09-01_LHM'!$AL:$AL),IF(_xlpm.v=0,"",_xlpm.v))</f>
        <v>IBT-192</v>
      </c>
      <c r="Z380" s="104" t="str">
        <f>_xlfn.LET(_xlpm.v,IF(ISTEXT(Y380),_xlfn.XLOOKUP(Y380,'JP-PINT'!A:A,'JP-PINT'!B:B),""),IF(ISERROR(_xlpm.v),"",_xlpm.v))</f>
        <v>&gt;&gt; TAX category code for tax category tax amount in accounting currency</v>
      </c>
      <c r="AA380" s="295" t="s">
        <v>31</v>
      </c>
    </row>
    <row r="381" spans="1:27" s="296" customFormat="1" ht="12.75" customHeight="1">
      <c r="A381" s="4">
        <f>IF(ISTEXT(E381),_xlfn.XLOOKUP(E381,'[1]SME09-01_LHM'!$D:$D,'[1]SME09-01_LHM'!$B:$B))</f>
        <v>470</v>
      </c>
      <c r="B381" s="4">
        <f>_xlfn.XLOOKUP(F381,'[1]SME09-01_LHM'!$I:$I,'[1]SME09-01_LHM'!$B:$B)</f>
        <v>470</v>
      </c>
      <c r="C381" s="22">
        <f>ROW()-25</f>
        <v>356</v>
      </c>
      <c r="D381" s="16" t="s">
        <v>622</v>
      </c>
      <c r="E381" s="16" t="s">
        <v>786</v>
      </c>
      <c r="F381" s="30" t="s">
        <v>785</v>
      </c>
      <c r="G381" s="49" t="s">
        <v>784</v>
      </c>
      <c r="H381" s="16" t="s">
        <v>8</v>
      </c>
      <c r="I381" s="16" t="s">
        <v>19</v>
      </c>
      <c r="J381" s="188" t="s">
        <v>66</v>
      </c>
      <c r="K381" s="181" t="s">
        <v>66</v>
      </c>
      <c r="L381" s="181" t="s">
        <v>66</v>
      </c>
      <c r="M381" s="186"/>
      <c r="N381" s="181" t="s">
        <v>398</v>
      </c>
      <c r="O381" s="246"/>
      <c r="P381" s="105" t="s">
        <v>126</v>
      </c>
      <c r="Q381" s="105" t="s">
        <v>783</v>
      </c>
      <c r="R381" s="105" t="s">
        <v>10</v>
      </c>
      <c r="S381" s="198" t="s">
        <v>740</v>
      </c>
      <c r="T381" s="71" t="s">
        <v>13</v>
      </c>
      <c r="U381" s="71" t="s">
        <v>673</v>
      </c>
      <c r="V381" s="158" t="s">
        <v>782</v>
      </c>
      <c r="W381" s="247" t="s">
        <v>10</v>
      </c>
      <c r="X381" s="247" t="s">
        <v>10</v>
      </c>
      <c r="Y381" s="182" t="str">
        <f>_xlfn.LET(_xlpm.v,_xlfn.XLOOKUP(E381,'[1]SME09-01_LHM'!$D:$D,'[1]SME09-01_LHM'!$AL:$AL),IF(_xlpm.v=0,"",_xlpm.v))</f>
        <v/>
      </c>
      <c r="Z381" s="104" t="str">
        <f>_xlfn.LET(_xlpm.v,IF(ISTEXT(Y381),_xlfn.XLOOKUP(Y381,'JP-PINT'!A:A,'JP-PINT'!B:B),""),IF(ISERROR(_xlpm.v),"",_xlpm.v))</f>
        <v/>
      </c>
      <c r="AA381" s="248" t="s">
        <v>103</v>
      </c>
    </row>
    <row r="382" spans="1:27" s="253" customFormat="1" ht="12.75" customHeight="1">
      <c r="A382" s="4">
        <f>IF(ISTEXT(E382),_xlfn.XLOOKUP(E382,'[1]SME09-01_LHM'!$D:$D,'[1]SME09-01_LHM'!$B:$B))</f>
        <v>466</v>
      </c>
      <c r="B382" s="4">
        <f>_xlfn.XLOOKUP(F382,'[1]SME09-01_LHM'!$I:$I,'[1]SME09-01_LHM'!$B:$B)</f>
        <v>466</v>
      </c>
      <c r="C382" s="22">
        <f>ROW()-25</f>
        <v>357</v>
      </c>
      <c r="D382" s="212" t="s">
        <v>622</v>
      </c>
      <c r="E382" s="212" t="s">
        <v>781</v>
      </c>
      <c r="F382" s="255" t="s">
        <v>780</v>
      </c>
      <c r="G382" s="255" t="s">
        <v>779</v>
      </c>
      <c r="H382" s="50" t="s">
        <v>8</v>
      </c>
      <c r="I382" s="16" t="s">
        <v>19</v>
      </c>
      <c r="J382" s="256" t="s">
        <v>66</v>
      </c>
      <c r="K382" s="212" t="s">
        <v>66</v>
      </c>
      <c r="L382" s="212" t="s">
        <v>66</v>
      </c>
      <c r="M382" s="257"/>
      <c r="N382" s="212" t="s">
        <v>17</v>
      </c>
      <c r="O382" s="53"/>
      <c r="P382" s="217" t="s">
        <v>126</v>
      </c>
      <c r="Q382" s="217" t="s">
        <v>277</v>
      </c>
      <c r="R382" s="217" t="s">
        <v>10</v>
      </c>
      <c r="S382" s="218"/>
      <c r="T382" s="219" t="s">
        <v>133</v>
      </c>
      <c r="U382" s="219" t="s">
        <v>24</v>
      </c>
      <c r="V382" s="217" t="s">
        <v>24</v>
      </c>
      <c r="W382" s="52" t="s">
        <v>10</v>
      </c>
      <c r="X382" s="52" t="s">
        <v>10</v>
      </c>
      <c r="Y382" s="182" t="str">
        <f>_xlfn.LET(_xlpm.v,_xlfn.XLOOKUP(E382,'[1]SME09-01_LHM'!$D:$D,'[1]SME09-01_LHM'!$AL:$AL),IF(_xlpm.v=0,"",_xlpm.v))</f>
        <v>IBT-193</v>
      </c>
      <c r="Z382" s="104" t="str">
        <f>_xlfn.LET(_xlpm.v,IF(ISTEXT(Y382),_xlfn.XLOOKUP(Y382,'JP-PINT'!A:A,'JP-PINT'!B:B),""),IF(ISERROR(_xlpm.v),"",_xlpm.v))</f>
        <v>&gt;&gt; TAX category rate for tax category tax amount in accounting currency</v>
      </c>
      <c r="AA382" s="51" t="s">
        <v>8</v>
      </c>
    </row>
    <row r="383" spans="1:27" s="299" customFormat="1" ht="12.75" customHeight="1">
      <c r="A383" s="4">
        <f>IF(ISTEXT(E383),_xlfn.XLOOKUP(E383,'[1]SME09-01_LHM'!$D:$D,'[1]SME09-01_LHM'!$B:$B))</f>
        <v>471</v>
      </c>
      <c r="B383" s="4">
        <f>_xlfn.XLOOKUP(F383,'[1]SME09-01_LHM'!$I:$I,'[1]SME09-01_LHM'!$B:$B)</f>
        <v>471</v>
      </c>
      <c r="C383" s="22">
        <f>ROW()-25</f>
        <v>358</v>
      </c>
      <c r="D383" s="212" t="s">
        <v>622</v>
      </c>
      <c r="E383" s="31" t="s">
        <v>777</v>
      </c>
      <c r="F383" s="30" t="s">
        <v>776</v>
      </c>
      <c r="G383" s="30" t="s">
        <v>775</v>
      </c>
      <c r="H383" s="16" t="s">
        <v>8</v>
      </c>
      <c r="I383" s="16" t="s">
        <v>19</v>
      </c>
      <c r="J383" s="297" t="s">
        <v>18</v>
      </c>
      <c r="K383" s="303" t="s">
        <v>18</v>
      </c>
      <c r="L383" s="303" t="s">
        <v>18</v>
      </c>
      <c r="M383" s="298"/>
      <c r="N383" s="181" t="s">
        <v>398</v>
      </c>
      <c r="O383" s="246"/>
      <c r="P383" s="217" t="s">
        <v>126</v>
      </c>
      <c r="Q383" s="104" t="s">
        <v>334</v>
      </c>
      <c r="R383" s="105" t="s">
        <v>10</v>
      </c>
      <c r="S383" s="104" t="s">
        <v>64</v>
      </c>
      <c r="T383" s="106" t="s">
        <v>63</v>
      </c>
      <c r="U383" s="106" t="s">
        <v>24</v>
      </c>
      <c r="V383" s="105" t="s">
        <v>24</v>
      </c>
      <c r="W383" s="247" t="s">
        <v>10</v>
      </c>
      <c r="X383" s="247" t="s">
        <v>10</v>
      </c>
      <c r="Y383" s="182" t="str">
        <f>_xlfn.LET(_xlpm.v,_xlfn.XLOOKUP(E383,'[1]SME09-01_LHM'!$D:$D,'[1]SME09-01_LHM'!$AL:$AL),IF(_xlpm.v=0,"",_xlpm.v))</f>
        <v/>
      </c>
      <c r="Z383" s="104" t="str">
        <f>_xlfn.LET(_xlpm.v,IF(ISTEXT(Y383),_xlfn.XLOOKUP(Y383,'JP-PINT'!A:A,'JP-PINT'!B:B),""),IF(ISERROR(_xlpm.v),"",_xlpm.v))</f>
        <v/>
      </c>
      <c r="AA383" s="248" t="s">
        <v>103</v>
      </c>
    </row>
    <row r="384" spans="1:27" s="249" customFormat="1" ht="12.75" customHeight="1">
      <c r="A384" s="4">
        <f>IF(ISTEXT(E384),_xlfn.XLOOKUP(E384,'[1]SME09-01_LHM'!$D:$D,'[1]SME09-01_LHM'!$B:$B))</f>
        <v>472</v>
      </c>
      <c r="B384" s="4">
        <f>_xlfn.XLOOKUP(F384,'[1]SME09-01_LHM'!$I:$I,'[1]SME09-01_LHM'!$B:$B)</f>
        <v>472</v>
      </c>
      <c r="C384" s="22">
        <f>ROW()-25</f>
        <v>359</v>
      </c>
      <c r="D384" s="26" t="s">
        <v>622</v>
      </c>
      <c r="E384" s="208" t="s">
        <v>774</v>
      </c>
      <c r="F384" s="93" t="s">
        <v>2757</v>
      </c>
      <c r="G384" s="25" t="s">
        <v>773</v>
      </c>
      <c r="H384" s="26" t="s">
        <v>28</v>
      </c>
      <c r="I384" s="26" t="s">
        <v>143</v>
      </c>
      <c r="J384" s="201" t="s">
        <v>142</v>
      </c>
      <c r="K384" s="199" t="s">
        <v>142</v>
      </c>
      <c r="L384" s="199" t="s">
        <v>142</v>
      </c>
      <c r="M384" s="195" t="s">
        <v>73</v>
      </c>
      <c r="N384" s="181" t="s">
        <v>46</v>
      </c>
      <c r="O384" s="293"/>
      <c r="P384" s="105" t="s">
        <v>126</v>
      </c>
      <c r="Q384" s="104" t="s">
        <v>772</v>
      </c>
      <c r="R384" s="105" t="s">
        <v>25</v>
      </c>
      <c r="S384" s="104"/>
      <c r="T384" s="106" t="s">
        <v>103</v>
      </c>
      <c r="U384" s="106" t="s">
        <v>24</v>
      </c>
      <c r="V384" s="105" t="s">
        <v>24</v>
      </c>
      <c r="W384" s="294" t="s">
        <v>25</v>
      </c>
      <c r="X384" s="294" t="s">
        <v>25</v>
      </c>
      <c r="Y384" s="182" t="str">
        <f>_xlfn.LET(_xlpm.v,_xlfn.XLOOKUP(E384,'[1]SME09-01_LHM'!$D:$D,'[1]SME09-01_LHM'!$AL:$AL),IF(_xlpm.v=0,"",_xlpm.v))</f>
        <v>IBG-14</v>
      </c>
      <c r="Z384" s="104" t="str">
        <f>_xlfn.LET(_xlpm.v,IF(ISTEXT(Y384),_xlfn.XLOOKUP(Y384,'JP-PINT'!A:A,'JP-PINT'!B:B),""),IF(ISERROR(_xlpm.v),"",_xlpm.v))</f>
        <v>&gt; INVOICING PERIOD</v>
      </c>
      <c r="AA384" s="295" t="s">
        <v>8</v>
      </c>
    </row>
    <row r="385" spans="1:27" s="296" customFormat="1" ht="12.75" customHeight="1">
      <c r="A385" s="4">
        <f>IF(ISTEXT(E385),_xlfn.XLOOKUP(E385,'[1]SME09-01_LHM'!$D:$D,'[1]SME09-01_LHM'!$B:$B))</f>
        <v>474</v>
      </c>
      <c r="B385" s="4">
        <f>_xlfn.XLOOKUP(F385,'[1]SME09-01_LHM'!$I:$I,'[1]SME09-01_LHM'!$B:$B)</f>
        <v>474</v>
      </c>
      <c r="C385" s="22">
        <f>ROW()-25</f>
        <v>360</v>
      </c>
      <c r="D385" s="16" t="s">
        <v>622</v>
      </c>
      <c r="E385" s="16" t="s">
        <v>770</v>
      </c>
      <c r="F385" s="18" t="s">
        <v>769</v>
      </c>
      <c r="G385" s="18" t="s">
        <v>768</v>
      </c>
      <c r="H385" s="16" t="s">
        <v>28</v>
      </c>
      <c r="I385" s="16" t="s">
        <v>143</v>
      </c>
      <c r="J385" s="188" t="s">
        <v>18</v>
      </c>
      <c r="K385" s="181" t="s">
        <v>18</v>
      </c>
      <c r="L385" s="181" t="s">
        <v>18</v>
      </c>
      <c r="M385" s="195" t="s">
        <v>73</v>
      </c>
      <c r="N385" s="181" t="s">
        <v>46</v>
      </c>
      <c r="O385" s="7"/>
      <c r="P385" s="105" t="s">
        <v>126</v>
      </c>
      <c r="Q385" s="104" t="s">
        <v>148</v>
      </c>
      <c r="R385" s="105" t="s">
        <v>10</v>
      </c>
      <c r="S385" s="104"/>
      <c r="T385" s="106"/>
      <c r="U385" s="106"/>
      <c r="V385" s="105"/>
      <c r="W385" s="3" t="s">
        <v>10</v>
      </c>
      <c r="X385" s="3" t="s">
        <v>10</v>
      </c>
      <c r="Y385" s="182" t="str">
        <f>_xlfn.LET(_xlpm.v,_xlfn.XLOOKUP(E385,'[1]SME09-01_LHM'!$D:$D,'[1]SME09-01_LHM'!$AL:$AL),IF(_xlpm.v=0,"",_xlpm.v))</f>
        <v>IBT-073</v>
      </c>
      <c r="Z385" s="104" t="str">
        <f>_xlfn.LET(_xlpm.v,IF(ISTEXT(Y385),_xlfn.XLOOKUP(Y385,'JP-PINT'!A:A,'JP-PINT'!B:B),""),IF(ISERROR(_xlpm.v),"",_xlpm.v))</f>
        <v>&gt;&gt; Invoicing period start date</v>
      </c>
      <c r="AA385" s="23" t="s">
        <v>8</v>
      </c>
    </row>
    <row r="386" spans="1:27" ht="12.75" customHeight="1">
      <c r="A386" s="4">
        <f>IF(ISTEXT(E386),_xlfn.XLOOKUP(E386,'[1]SME09-01_LHM'!$D:$D,'[1]SME09-01_LHM'!$B:$B))</f>
        <v>475</v>
      </c>
      <c r="B386" s="4">
        <f>_xlfn.XLOOKUP(F386,'[1]SME09-01_LHM'!$I:$I,'[1]SME09-01_LHM'!$B:$B)</f>
        <v>475</v>
      </c>
      <c r="C386" s="22">
        <f>ROW()-25</f>
        <v>361</v>
      </c>
      <c r="D386" s="16" t="s">
        <v>622</v>
      </c>
      <c r="E386" s="16" t="s">
        <v>766</v>
      </c>
      <c r="F386" s="18" t="s">
        <v>765</v>
      </c>
      <c r="G386" s="18" t="s">
        <v>764</v>
      </c>
      <c r="H386" s="16" t="s">
        <v>28</v>
      </c>
      <c r="I386" s="16" t="s">
        <v>143</v>
      </c>
      <c r="J386" s="188" t="s">
        <v>763</v>
      </c>
      <c r="K386" s="181" t="s">
        <v>763</v>
      </c>
      <c r="L386" s="181" t="s">
        <v>763</v>
      </c>
      <c r="M386" s="195" t="s">
        <v>73</v>
      </c>
      <c r="N386" s="181" t="s">
        <v>46</v>
      </c>
      <c r="O386" s="7" t="s">
        <v>79</v>
      </c>
      <c r="P386" s="105" t="s">
        <v>126</v>
      </c>
      <c r="Q386" s="104" t="s">
        <v>141</v>
      </c>
      <c r="R386" s="105" t="s">
        <v>10</v>
      </c>
      <c r="S386" s="104"/>
      <c r="T386" s="106"/>
      <c r="U386" s="106"/>
      <c r="V386" s="105"/>
      <c r="W386" s="3" t="s">
        <v>10</v>
      </c>
      <c r="X386" s="3" t="s">
        <v>10</v>
      </c>
      <c r="Y386" s="182" t="str">
        <f>_xlfn.LET(_xlpm.v,_xlfn.XLOOKUP(E386,'[1]SME09-01_LHM'!$D:$D,'[1]SME09-01_LHM'!$AL:$AL),IF(_xlpm.v=0,"",_xlpm.v))</f>
        <v>IBT-074</v>
      </c>
      <c r="Z386" s="104" t="str">
        <f>_xlfn.LET(_xlpm.v,IF(ISTEXT(Y386),_xlfn.XLOOKUP(Y386,'JP-PINT'!A:A,'JP-PINT'!B:B),""),IF(ISERROR(_xlpm.v),"",_xlpm.v))</f>
        <v>&gt;&gt; Invoicing period end date</v>
      </c>
      <c r="AA386" s="16" t="s">
        <v>8</v>
      </c>
    </row>
    <row r="387" spans="1:27" s="6" customFormat="1" ht="12.75" customHeight="1">
      <c r="A387" s="4">
        <f>IF(ISTEXT(E387),_xlfn.XLOOKUP(E387,'[1]SME09-01_LHM'!$D:$D,'[1]SME09-01_LHM'!$B:$B))</f>
        <v>500</v>
      </c>
      <c r="B387" s="4">
        <f>_xlfn.XLOOKUP(F387,'[1]SME09-01_LHM'!$I:$I,'[1]SME09-01_LHM'!$B:$B)</f>
        <v>500</v>
      </c>
      <c r="C387" s="22">
        <f>ROW()-25</f>
        <v>362</v>
      </c>
      <c r="D387" s="26" t="s">
        <v>622</v>
      </c>
      <c r="E387" s="26" t="s">
        <v>761</v>
      </c>
      <c r="F387" s="94" t="s">
        <v>2758</v>
      </c>
      <c r="G387" s="25" t="s">
        <v>760</v>
      </c>
      <c r="H387" s="26" t="s">
        <v>8</v>
      </c>
      <c r="I387" s="26" t="s">
        <v>74</v>
      </c>
      <c r="J387" s="201" t="s">
        <v>66</v>
      </c>
      <c r="K387" s="199" t="s">
        <v>66</v>
      </c>
      <c r="L387" s="199" t="s">
        <v>66</v>
      </c>
      <c r="M387" s="189" t="s">
        <v>618</v>
      </c>
      <c r="N387" s="181" t="s">
        <v>183</v>
      </c>
      <c r="O387" s="7"/>
      <c r="P387" s="105" t="s">
        <v>126</v>
      </c>
      <c r="Q387" s="105" t="s">
        <v>759</v>
      </c>
      <c r="R387" s="105" t="s">
        <v>25</v>
      </c>
      <c r="S387" s="104"/>
      <c r="T387" s="106" t="s">
        <v>103</v>
      </c>
      <c r="U387" s="106" t="s">
        <v>24</v>
      </c>
      <c r="V387" s="105" t="s">
        <v>24</v>
      </c>
      <c r="W387" s="3" t="s">
        <v>25</v>
      </c>
      <c r="X387" s="3" t="s">
        <v>25</v>
      </c>
      <c r="Y387" s="182" t="str">
        <f>_xlfn.LET(_xlpm.v,_xlfn.XLOOKUP(E387,'[1]SME09-01_LHM'!$D:$D,'[1]SME09-01_LHM'!$AL:$AL),IF(_xlpm.v=0,"",_xlpm.v))</f>
        <v>IBG-22</v>
      </c>
      <c r="Z387" s="104" t="str">
        <f>_xlfn.LET(_xlpm.v,IF(ISTEXT(Y387),_xlfn.XLOOKUP(Y387,'JP-PINT'!A:A,'JP-PINT'!B:B),""),IF(ISERROR(_xlpm.v),"",_xlpm.v))</f>
        <v>DOCUMENT TOTALS</v>
      </c>
      <c r="AA387" s="16" t="s">
        <v>31</v>
      </c>
    </row>
    <row r="388" spans="1:27" s="134" customFormat="1" ht="12.75" customHeight="1">
      <c r="A388" s="4">
        <f>IF(ISTEXT(E388),_xlfn.XLOOKUP(E388,'[1]SME09-01_LHM'!$D:$D,'[1]SME09-01_LHM'!$B:$B))</f>
        <v>502</v>
      </c>
      <c r="B388" s="4">
        <f>_xlfn.XLOOKUP(F388,'[1]SME09-01_LHM'!$I:$I,'[1]SME09-01_LHM'!$B:$B)</f>
        <v>502</v>
      </c>
      <c r="C388" s="102">
        <f>ROW()-25</f>
        <v>363</v>
      </c>
      <c r="D388" s="103" t="s">
        <v>622</v>
      </c>
      <c r="E388" s="103" t="s">
        <v>757</v>
      </c>
      <c r="F388" s="105" t="s">
        <v>756</v>
      </c>
      <c r="G388" s="105" t="s">
        <v>755</v>
      </c>
      <c r="H388" s="103" t="s">
        <v>8</v>
      </c>
      <c r="I388" s="103" t="s">
        <v>143</v>
      </c>
      <c r="J388" s="222" t="s">
        <v>18</v>
      </c>
      <c r="K388" s="223" t="s">
        <v>18</v>
      </c>
      <c r="L388" s="223" t="s">
        <v>18</v>
      </c>
      <c r="M388" s="193" t="s">
        <v>754</v>
      </c>
      <c r="N388" s="223" t="s">
        <v>46</v>
      </c>
      <c r="O388" s="136"/>
      <c r="P388" s="105" t="s">
        <v>126</v>
      </c>
      <c r="Q388" s="105" t="s">
        <v>753</v>
      </c>
      <c r="R388" s="105" t="s">
        <v>10</v>
      </c>
      <c r="S388" s="104"/>
      <c r="T388" s="106"/>
      <c r="U388" s="106"/>
      <c r="V388" s="105"/>
      <c r="W388" s="107" t="s">
        <v>10</v>
      </c>
      <c r="X388" s="107" t="s">
        <v>10</v>
      </c>
      <c r="Y388" s="192" t="str">
        <f>_xlfn.LET(_xlpm.v,_xlfn.XLOOKUP(E388,'[1]SME09-01_LHM'!$D:$D,'[1]SME09-01_LHM'!$AL:$AL),IF(_xlpm.v=0,"",_xlpm.v))</f>
        <v>IBT-108</v>
      </c>
      <c r="Z388" s="104" t="str">
        <f>_xlfn.LET(_xlpm.v,IF(ISTEXT(Y388),_xlfn.XLOOKUP(Y388,'JP-PINT'!A:A,'JP-PINT'!B:B),""),IF(ISERROR(_xlpm.v),"",_xlpm.v))</f>
        <v>&gt; Sum of charges on document level</v>
      </c>
      <c r="AA388" s="103" t="s">
        <v>8</v>
      </c>
    </row>
    <row r="389" spans="1:27" s="6" customFormat="1" ht="12.75" customHeight="1">
      <c r="A389" s="4">
        <f>IF(ISTEXT(E389),_xlfn.XLOOKUP(E389,'[1]SME09-01_LHM'!$D:$D,'[1]SME09-01_LHM'!$B:$B))</f>
        <v>503</v>
      </c>
      <c r="B389" s="4">
        <f>_xlfn.XLOOKUP(F389,'[1]SME09-01_LHM'!$I:$I,'[1]SME09-01_LHM'!$B:$B)</f>
        <v>503</v>
      </c>
      <c r="C389" s="22">
        <f>ROW()-25</f>
        <v>364</v>
      </c>
      <c r="D389" s="16" t="s">
        <v>622</v>
      </c>
      <c r="E389" s="16" t="s">
        <v>751</v>
      </c>
      <c r="F389" s="18" t="s">
        <v>750</v>
      </c>
      <c r="G389" s="18" t="s">
        <v>749</v>
      </c>
      <c r="H389" s="16" t="s">
        <v>8</v>
      </c>
      <c r="I389" s="16" t="s">
        <v>143</v>
      </c>
      <c r="J389" s="188" t="s">
        <v>18</v>
      </c>
      <c r="K389" s="181" t="s">
        <v>18</v>
      </c>
      <c r="L389" s="181" t="s">
        <v>18</v>
      </c>
      <c r="M389" s="186" t="s">
        <v>618</v>
      </c>
      <c r="N389" s="181" t="s">
        <v>46</v>
      </c>
      <c r="O389" s="7"/>
      <c r="P389" s="105" t="s">
        <v>126</v>
      </c>
      <c r="Q389" s="105" t="s">
        <v>748</v>
      </c>
      <c r="R389" s="105" t="s">
        <v>10</v>
      </c>
      <c r="S389" s="104"/>
      <c r="T389" s="106"/>
      <c r="U389" s="106"/>
      <c r="V389" s="105"/>
      <c r="W389" s="3" t="s">
        <v>10</v>
      </c>
      <c r="X389" s="3" t="s">
        <v>10</v>
      </c>
      <c r="Y389" s="182" t="str">
        <f>_xlfn.LET(_xlpm.v,_xlfn.XLOOKUP(E389,'[1]SME09-01_LHM'!$D:$D,'[1]SME09-01_LHM'!$AL:$AL),IF(_xlpm.v=0,"",_xlpm.v))</f>
        <v>IBT-107</v>
      </c>
      <c r="Z389" s="104" t="str">
        <f>_xlfn.LET(_xlpm.v,IF(ISTEXT(Y389),_xlfn.XLOOKUP(Y389,'JP-PINT'!A:A,'JP-PINT'!B:B),""),IF(ISERROR(_xlpm.v),"",_xlpm.v))</f>
        <v>&gt; Sum of allowances on document level</v>
      </c>
      <c r="AA389" s="16" t="s">
        <v>8</v>
      </c>
    </row>
    <row r="390" spans="1:27" s="6" customFormat="1" ht="12.75" customHeight="1">
      <c r="A390" s="4">
        <f>IF(ISTEXT(E390),_xlfn.XLOOKUP(E390,'[1]SME09-01_LHM'!$D:$D,'[1]SME09-01_LHM'!$B:$B))</f>
        <v>504</v>
      </c>
      <c r="B390" s="4">
        <f>_xlfn.XLOOKUP(F390,'[1]SME09-01_LHM'!$I:$I,'[1]SME09-01_LHM'!$B:$B)</f>
        <v>504</v>
      </c>
      <c r="C390" s="22">
        <f>ROW()-25</f>
        <v>365</v>
      </c>
      <c r="D390" s="16" t="s">
        <v>622</v>
      </c>
      <c r="E390" s="16" t="s">
        <v>746</v>
      </c>
      <c r="F390" s="93" t="s">
        <v>2759</v>
      </c>
      <c r="G390" s="18" t="s">
        <v>745</v>
      </c>
      <c r="H390" s="16" t="s">
        <v>8</v>
      </c>
      <c r="I390" s="16" t="s">
        <v>74</v>
      </c>
      <c r="J390" s="188" t="s">
        <v>66</v>
      </c>
      <c r="K390" s="181" t="s">
        <v>66</v>
      </c>
      <c r="L390" s="181" t="s">
        <v>66</v>
      </c>
      <c r="M390" s="195" t="s">
        <v>73</v>
      </c>
      <c r="N390" s="181" t="s">
        <v>183</v>
      </c>
      <c r="O390" s="7"/>
      <c r="P390" s="105" t="s">
        <v>126</v>
      </c>
      <c r="Q390" s="105" t="s">
        <v>741</v>
      </c>
      <c r="R390" s="105" t="s">
        <v>10</v>
      </c>
      <c r="S390" s="104"/>
      <c r="T390" s="106"/>
      <c r="U390" s="155"/>
      <c r="V390" s="154"/>
      <c r="W390" s="3" t="s">
        <v>10</v>
      </c>
      <c r="X390" s="3" t="s">
        <v>10</v>
      </c>
      <c r="Y390" s="182" t="str">
        <f>_xlfn.LET(_xlpm.v,_xlfn.XLOOKUP(E390,'[1]SME09-01_LHM'!$D:$D,'[1]SME09-01_LHM'!$AL:$AL),IF(_xlpm.v=0,"",_xlpm.v))</f>
        <v>IBT-110</v>
      </c>
      <c r="Z390" s="104" t="str">
        <f>_xlfn.LET(_xlpm.v,IF(ISTEXT(Y390),_xlfn.XLOOKUP(Y390,'JP-PINT'!A:A,'JP-PINT'!B:B),""),IF(ISERROR(_xlpm.v),"",_xlpm.v))</f>
        <v>&gt; Invoice total TAX amount</v>
      </c>
      <c r="AA390" s="16" t="s">
        <v>31</v>
      </c>
    </row>
    <row r="391" spans="1:27" s="6" customFormat="1" ht="12.75" customHeight="1">
      <c r="A391" s="4">
        <f>IF(ISTEXT(E391),_xlfn.XLOOKUP(E391,'[1]SME09-01_LHM'!$D:$D,'[1]SME09-01_LHM'!$B:$B))</f>
        <v>505</v>
      </c>
      <c r="B391" s="4">
        <f>_xlfn.XLOOKUP(F391,'[1]SME09-01_LHM'!$I:$I,'[1]SME09-01_LHM'!$B:$B)</f>
        <v>505</v>
      </c>
      <c r="C391" s="37">
        <f>ROW()-25</f>
        <v>366</v>
      </c>
      <c r="D391" s="35" t="s">
        <v>622</v>
      </c>
      <c r="E391" s="35" t="s">
        <v>744</v>
      </c>
      <c r="F391" s="37" t="s">
        <v>743</v>
      </c>
      <c r="G391" s="37" t="s">
        <v>742</v>
      </c>
      <c r="H391" s="35" t="s">
        <v>8</v>
      </c>
      <c r="I391" s="39" t="s">
        <v>127</v>
      </c>
      <c r="J391" s="197" t="s">
        <v>505</v>
      </c>
      <c r="K391" s="196" t="s">
        <v>505</v>
      </c>
      <c r="L391" s="196" t="s">
        <v>505</v>
      </c>
      <c r="M391" s="320" t="s">
        <v>618</v>
      </c>
      <c r="N391" s="181" t="s">
        <v>46</v>
      </c>
      <c r="O391" s="7"/>
      <c r="P391" s="105" t="s">
        <v>126</v>
      </c>
      <c r="Q391" s="105" t="s">
        <v>741</v>
      </c>
      <c r="R391" s="105" t="s">
        <v>10</v>
      </c>
      <c r="S391" s="104" t="s">
        <v>740</v>
      </c>
      <c r="T391" s="106" t="s">
        <v>13</v>
      </c>
      <c r="U391" s="155" t="s">
        <v>739</v>
      </c>
      <c r="V391" s="154" t="s">
        <v>738</v>
      </c>
      <c r="W391" s="3" t="s">
        <v>10</v>
      </c>
      <c r="X391" s="3" t="s">
        <v>10</v>
      </c>
      <c r="Y391" s="182" t="str">
        <f>_xlfn.LET(_xlpm.v,_xlfn.XLOOKUP(E391,'[1]SME09-01_LHM'!$D:$D,'[1]SME09-01_LHM'!$AL:$AL),IF(_xlpm.v=0,"",_xlpm.v))</f>
        <v>IBT-111</v>
      </c>
      <c r="Z391" s="104" t="str">
        <f>_xlfn.LET(_xlpm.v,IF(ISTEXT(Y391),_xlfn.XLOOKUP(Y391,'JP-PINT'!A:A,'JP-PINT'!B:B),""),IF(ISERROR(_xlpm.v),"",_xlpm.v))</f>
        <v>&gt; Invoice total TAX amount in tax accounting currency</v>
      </c>
      <c r="AA391" s="16" t="s">
        <v>28</v>
      </c>
    </row>
    <row r="392" spans="1:27" s="45" customFormat="1" ht="12.75" customHeight="1">
      <c r="A392" s="4" t="e">
        <f>IF(ISTEXT(E392),_xlfn.XLOOKUP(E392,'[1]SME09-01_LHM'!$D:$D,'[1]SME09-01_LHM'!$B:$B))</f>
        <v>#N/A</v>
      </c>
      <c r="B392" s="4">
        <f>_xlfn.XLOOKUP(F392,'[1]SME09-01_LHM'!$I:$I,'[1]SME09-01_LHM'!$B:$B)</f>
        <v>506</v>
      </c>
      <c r="C392" s="37">
        <f>ROW()-25</f>
        <v>367</v>
      </c>
      <c r="D392" s="65" t="s">
        <v>736</v>
      </c>
      <c r="E392" s="321" t="s">
        <v>735</v>
      </c>
      <c r="F392" s="64" t="s">
        <v>734</v>
      </c>
      <c r="G392" s="64" t="s">
        <v>733</v>
      </c>
      <c r="H392" s="65" t="s">
        <v>31</v>
      </c>
      <c r="I392" s="39" t="s">
        <v>127</v>
      </c>
      <c r="J392" s="322" t="s">
        <v>66</v>
      </c>
      <c r="K392" s="322" t="s">
        <v>66</v>
      </c>
      <c r="L392" s="322" t="s">
        <v>66</v>
      </c>
      <c r="M392" s="320" t="s">
        <v>618</v>
      </c>
      <c r="N392" s="323"/>
      <c r="O392" s="7"/>
      <c r="P392" s="105" t="s">
        <v>126</v>
      </c>
      <c r="Q392" s="324"/>
      <c r="R392" s="154" t="s">
        <v>430</v>
      </c>
      <c r="S392" s="159"/>
      <c r="T392" s="160"/>
      <c r="U392" s="325"/>
      <c r="V392" s="326"/>
      <c r="W392" s="3" t="s">
        <v>429</v>
      </c>
      <c r="X392" s="3" t="s">
        <v>429</v>
      </c>
      <c r="Y392" s="182"/>
      <c r="Z392" s="104" t="str">
        <f>_xlfn.LET(_xlpm.v,IF(ISTEXT(Y392),_xlfn.XLOOKUP(Y392,'JP-PINT'!A:A,'JP-PINT'!B:B),""),IF(ISERROR(_xlpm.v),"",_xlpm.v))</f>
        <v/>
      </c>
      <c r="AA392" s="35"/>
    </row>
    <row r="393" spans="1:27" s="45" customFormat="1" ht="12.75" customHeight="1">
      <c r="A393" s="4">
        <f>IF(ISTEXT(E393),_xlfn.XLOOKUP(E393,'[1]SME09-01_LHM'!$D:$D,'[1]SME09-01_LHM'!$B:$B))</f>
        <v>507</v>
      </c>
      <c r="B393" s="4">
        <f>_xlfn.XLOOKUP(F393,'[1]SME09-01_LHM'!$I:$I,'[1]SME09-01_LHM'!$B:$B)</f>
        <v>507</v>
      </c>
      <c r="C393" s="22">
        <f>ROW()-25</f>
        <v>368</v>
      </c>
      <c r="D393" s="16" t="s">
        <v>622</v>
      </c>
      <c r="E393" s="16" t="s">
        <v>732</v>
      </c>
      <c r="F393" s="18" t="s">
        <v>731</v>
      </c>
      <c r="G393" s="18" t="s">
        <v>730</v>
      </c>
      <c r="H393" s="16" t="s">
        <v>8</v>
      </c>
      <c r="I393" s="16" t="s">
        <v>74</v>
      </c>
      <c r="J393" s="188" t="s">
        <v>66</v>
      </c>
      <c r="K393" s="188" t="s">
        <v>66</v>
      </c>
      <c r="L393" s="188" t="s">
        <v>66</v>
      </c>
      <c r="M393" s="186" t="s">
        <v>618</v>
      </c>
      <c r="N393" s="181" t="s">
        <v>183</v>
      </c>
      <c r="O393" s="7"/>
      <c r="P393" s="105" t="s">
        <v>126</v>
      </c>
      <c r="Q393" s="105" t="s">
        <v>729</v>
      </c>
      <c r="R393" s="105" t="s">
        <v>10</v>
      </c>
      <c r="S393" s="104"/>
      <c r="T393" s="106"/>
      <c r="U393" s="155"/>
      <c r="V393" s="154"/>
      <c r="W393" s="3" t="s">
        <v>10</v>
      </c>
      <c r="X393" s="3" t="s">
        <v>10</v>
      </c>
      <c r="Y393" s="182" t="str">
        <f>_xlfn.LET(_xlpm.v,_xlfn.XLOOKUP(E393,'[1]SME09-01_LHM'!$D:$D,'[1]SME09-01_LHM'!$AL:$AL),IF(_xlpm.v=0,"",_xlpm.v))</f>
        <v>IBT-109</v>
      </c>
      <c r="Z393" s="104" t="str">
        <f>_xlfn.LET(_xlpm.v,IF(ISTEXT(Y393),_xlfn.XLOOKUP(Y393,'JP-PINT'!A:A,'JP-PINT'!B:B),""),IF(ISERROR(_xlpm.v),"",_xlpm.v))</f>
        <v>&gt; Invoice total amount without TAX</v>
      </c>
      <c r="AA393" s="16" t="s">
        <v>31</v>
      </c>
    </row>
    <row r="394" spans="1:27" s="6" customFormat="1" ht="12.75" customHeight="1">
      <c r="A394" s="4">
        <f>IF(ISTEXT(E394),_xlfn.XLOOKUP(E394,'[1]SME09-01_LHM'!$D:$D,'[1]SME09-01_LHM'!$B:$B))</f>
        <v>508</v>
      </c>
      <c r="B394" s="4">
        <f>_xlfn.XLOOKUP(F394,'[1]SME09-01_LHM'!$I:$I,'[1]SME09-01_LHM'!$B:$B)</f>
        <v>508</v>
      </c>
      <c r="C394" s="22">
        <f>ROW()-25</f>
        <v>369</v>
      </c>
      <c r="D394" s="16" t="s">
        <v>622</v>
      </c>
      <c r="E394" s="16" t="s">
        <v>727</v>
      </c>
      <c r="F394" s="18" t="s">
        <v>726</v>
      </c>
      <c r="G394" s="18" t="s">
        <v>725</v>
      </c>
      <c r="H394" s="16" t="s">
        <v>8</v>
      </c>
      <c r="I394" s="16" t="s">
        <v>74</v>
      </c>
      <c r="J394" s="181" t="s">
        <v>719</v>
      </c>
      <c r="K394" s="181" t="s">
        <v>719</v>
      </c>
      <c r="L394" s="181" t="s">
        <v>719</v>
      </c>
      <c r="M394" s="186" t="s">
        <v>618</v>
      </c>
      <c r="N394" s="181" t="s">
        <v>183</v>
      </c>
      <c r="O394" s="7"/>
      <c r="P394" s="105" t="s">
        <v>126</v>
      </c>
      <c r="Q394" s="105" t="s">
        <v>724</v>
      </c>
      <c r="R394" s="105" t="s">
        <v>10</v>
      </c>
      <c r="S394" s="104"/>
      <c r="T394" s="106"/>
      <c r="U394" s="155"/>
      <c r="V394" s="154"/>
      <c r="W394" s="3" t="s">
        <v>10</v>
      </c>
      <c r="X394" s="3" t="s">
        <v>10</v>
      </c>
      <c r="Y394" s="182" t="str">
        <f>_xlfn.LET(_xlpm.v,_xlfn.XLOOKUP(E394,'[1]SME09-01_LHM'!$D:$D,'[1]SME09-01_LHM'!$AL:$AL),IF(_xlpm.v=0,"",_xlpm.v))</f>
        <v>IBT-106</v>
      </c>
      <c r="Z394" s="104" t="str">
        <f>_xlfn.LET(_xlpm.v,IF(ISTEXT(Y394),_xlfn.XLOOKUP(Y394,'JP-PINT'!A:A,'JP-PINT'!B:B),""),IF(ISERROR(_xlpm.v),"",_xlpm.v))</f>
        <v>&gt; Sum of Invoice line net amount</v>
      </c>
      <c r="AA394" s="23" t="s">
        <v>31</v>
      </c>
    </row>
    <row r="395" spans="1:27" ht="12.75" customHeight="1">
      <c r="A395" s="4">
        <f>IF(ISTEXT(E395),_xlfn.XLOOKUP(E395,'[1]SME09-01_LHM'!$D:$D,'[1]SME09-01_LHM'!$B:$B))</f>
        <v>509</v>
      </c>
      <c r="B395" s="4">
        <f>_xlfn.XLOOKUP(F395,'[1]SME09-01_LHM'!$I:$I,'[1]SME09-01_LHM'!$B:$B)</f>
        <v>509</v>
      </c>
      <c r="C395" s="22">
        <f>ROW()-25</f>
        <v>370</v>
      </c>
      <c r="D395" s="16" t="s">
        <v>622</v>
      </c>
      <c r="E395" s="16" t="s">
        <v>722</v>
      </c>
      <c r="F395" s="18" t="s">
        <v>721</v>
      </c>
      <c r="G395" s="18" t="s">
        <v>720</v>
      </c>
      <c r="H395" s="16" t="s">
        <v>8</v>
      </c>
      <c r="I395" s="16" t="s">
        <v>340</v>
      </c>
      <c r="J395" s="188" t="s">
        <v>719</v>
      </c>
      <c r="K395" s="188" t="s">
        <v>719</v>
      </c>
      <c r="L395" s="188" t="s">
        <v>719</v>
      </c>
      <c r="M395" s="186" t="s">
        <v>618</v>
      </c>
      <c r="N395" s="23" t="s">
        <v>24</v>
      </c>
      <c r="P395" s="105" t="s">
        <v>126</v>
      </c>
      <c r="Q395" s="105" t="s">
        <v>718</v>
      </c>
      <c r="R395" s="105" t="s">
        <v>10</v>
      </c>
      <c r="S395" s="104"/>
      <c r="T395" s="106"/>
      <c r="U395" s="106"/>
      <c r="V395" s="105"/>
      <c r="W395" s="3" t="s">
        <v>10</v>
      </c>
      <c r="X395" s="3" t="s">
        <v>10</v>
      </c>
      <c r="Y395" s="182" t="str">
        <f>_xlfn.LET(_xlpm.v,_xlfn.XLOOKUP(E395,'[1]SME09-01_LHM'!$D:$D,'[1]SME09-01_LHM'!$AL:$AL),IF(_xlpm.v=0,"",_xlpm.v))</f>
        <v/>
      </c>
      <c r="Z395" s="104" t="str">
        <f>_xlfn.LET(_xlpm.v,IF(ISTEXT(Y395),_xlfn.XLOOKUP(Y395,'JP-PINT'!A:A,'JP-PINT'!B:B),""),IF(ISERROR(_xlpm.v),"",_xlpm.v))</f>
        <v/>
      </c>
      <c r="AA395" s="23" t="s">
        <v>24</v>
      </c>
    </row>
    <row r="396" spans="1:27" ht="12.75" customHeight="1">
      <c r="A396" s="4">
        <f>IF(ISTEXT(E396),_xlfn.XLOOKUP(E396,'[1]SME09-01_LHM'!$D:$D,'[1]SME09-01_LHM'!$B:$B))</f>
        <v>510</v>
      </c>
      <c r="B396" s="4">
        <f>_xlfn.XLOOKUP(F396,'[1]SME09-01_LHM'!$I:$I,'[1]SME09-01_LHM'!$B:$B)</f>
        <v>510</v>
      </c>
      <c r="C396" s="22">
        <f>ROW()-25</f>
        <v>371</v>
      </c>
      <c r="D396" s="16" t="s">
        <v>622</v>
      </c>
      <c r="E396" s="16" t="s">
        <v>717</v>
      </c>
      <c r="F396" s="18" t="s">
        <v>716</v>
      </c>
      <c r="G396" s="18" t="s">
        <v>715</v>
      </c>
      <c r="H396" s="16" t="s">
        <v>8</v>
      </c>
      <c r="I396" s="16" t="s">
        <v>143</v>
      </c>
      <c r="J396" s="188" t="s">
        <v>66</v>
      </c>
      <c r="K396" s="188" t="s">
        <v>66</v>
      </c>
      <c r="L396" s="188" t="s">
        <v>66</v>
      </c>
      <c r="M396" s="186" t="s">
        <v>618</v>
      </c>
      <c r="N396" s="181" t="s">
        <v>443</v>
      </c>
      <c r="P396" s="105" t="s">
        <v>126</v>
      </c>
      <c r="Q396" s="105" t="s">
        <v>714</v>
      </c>
      <c r="R396" s="105" t="s">
        <v>10</v>
      </c>
      <c r="S396" s="104"/>
      <c r="T396" s="106"/>
      <c r="U396" s="155"/>
      <c r="V396" s="154"/>
      <c r="W396" s="3" t="s">
        <v>10</v>
      </c>
      <c r="X396" s="3" t="s">
        <v>10</v>
      </c>
      <c r="Y396" s="182" t="str">
        <f>_xlfn.LET(_xlpm.v,_xlfn.XLOOKUP(E396,'[1]SME09-01_LHM'!$D:$D,'[1]SME09-01_LHM'!$AL:$AL),IF(_xlpm.v=0,"",_xlpm.v))</f>
        <v>IBT-112</v>
      </c>
      <c r="Z396" s="104" t="str">
        <f>_xlfn.LET(_xlpm.v,IF(ISTEXT(Y396),_xlfn.XLOOKUP(Y396,'JP-PINT'!A:A,'JP-PINT'!B:B),""),IF(ISERROR(_xlpm.v),"",_xlpm.v))</f>
        <v>&gt; Invoice total amount with TAX</v>
      </c>
      <c r="AA396" s="23" t="s">
        <v>31</v>
      </c>
    </row>
    <row r="397" spans="1:27" ht="12.75" customHeight="1">
      <c r="A397" s="4">
        <f>IF(ISTEXT(E397),_xlfn.XLOOKUP(E397,'[1]SME09-01_LHM'!$D:$D,'[1]SME09-01_LHM'!$B:$B))</f>
        <v>511</v>
      </c>
      <c r="B397" s="4">
        <f>_xlfn.XLOOKUP(F397,'[1]SME09-01_LHM'!$I:$I,'[1]SME09-01_LHM'!$B:$B)</f>
        <v>511</v>
      </c>
      <c r="C397" s="22">
        <f>ROW()-25</f>
        <v>372</v>
      </c>
      <c r="D397" s="26" t="s">
        <v>622</v>
      </c>
      <c r="E397" s="26" t="s">
        <v>712</v>
      </c>
      <c r="F397" s="25" t="s">
        <v>2760</v>
      </c>
      <c r="G397" s="25" t="s">
        <v>711</v>
      </c>
      <c r="H397" s="26" t="s">
        <v>28</v>
      </c>
      <c r="I397" s="26" t="s">
        <v>143</v>
      </c>
      <c r="J397" s="201" t="s">
        <v>66</v>
      </c>
      <c r="K397" s="199" t="s">
        <v>66</v>
      </c>
      <c r="L397" s="245"/>
      <c r="M397" s="189"/>
      <c r="N397" s="181" t="s">
        <v>103</v>
      </c>
      <c r="P397" s="105" t="s">
        <v>126</v>
      </c>
      <c r="Q397" s="105" t="s">
        <v>710</v>
      </c>
      <c r="R397" s="105" t="s">
        <v>25</v>
      </c>
      <c r="S397" s="104"/>
      <c r="T397" s="106"/>
      <c r="U397" s="106" t="s">
        <v>24</v>
      </c>
      <c r="V397" s="105" t="s">
        <v>24</v>
      </c>
      <c r="W397" s="3" t="s">
        <v>25</v>
      </c>
      <c r="Y397" s="182" t="str">
        <f>_xlfn.LET(_xlpm.v,_xlfn.XLOOKUP(E397,'[1]SME09-01_LHM'!$D:$D,'[1]SME09-01_LHM'!$AL:$AL),IF(_xlpm.v=0,"",_xlpm.v))</f>
        <v/>
      </c>
      <c r="Z397" s="104" t="str">
        <f>_xlfn.LET(_xlpm.v,IF(ISTEXT(Y397),_xlfn.XLOOKUP(Y397,'JP-PINT'!A:A,'JP-PINT'!B:B),""),IF(ISERROR(_xlpm.v),"",_xlpm.v))</f>
        <v/>
      </c>
      <c r="AA397" s="23" t="s">
        <v>24</v>
      </c>
    </row>
    <row r="398" spans="1:27" ht="12.75" customHeight="1">
      <c r="A398" s="4">
        <f>IF(ISTEXT(E398),_xlfn.XLOOKUP(E398,'[1]SME09-01_LHM'!$D:$D,'[1]SME09-01_LHM'!$B:$B))</f>
        <v>513</v>
      </c>
      <c r="B398" s="4">
        <f>_xlfn.XLOOKUP(F398,'[1]SME09-01_LHM'!$I:$I,'[1]SME09-01_LHM'!$B:$B)</f>
        <v>513</v>
      </c>
      <c r="C398" s="22">
        <f>ROW()-25</f>
        <v>373</v>
      </c>
      <c r="D398" s="16" t="s">
        <v>622</v>
      </c>
      <c r="E398" s="16" t="s">
        <v>709</v>
      </c>
      <c r="F398" s="18" t="s">
        <v>708</v>
      </c>
      <c r="G398" s="18" t="s">
        <v>707</v>
      </c>
      <c r="H398" s="16" t="s">
        <v>31</v>
      </c>
      <c r="I398" s="16" t="s">
        <v>143</v>
      </c>
      <c r="J398" s="188" t="s">
        <v>66</v>
      </c>
      <c r="K398" s="181" t="s">
        <v>66</v>
      </c>
      <c r="L398" s="242"/>
      <c r="M398" s="186"/>
      <c r="N398" s="181" t="s">
        <v>46</v>
      </c>
      <c r="P398" s="105" t="s">
        <v>126</v>
      </c>
      <c r="Q398" s="105" t="s">
        <v>327</v>
      </c>
      <c r="R398" s="105" t="s">
        <v>10</v>
      </c>
      <c r="S398" s="104"/>
      <c r="T398" s="106"/>
      <c r="U398" s="106" t="s">
        <v>24</v>
      </c>
      <c r="V398" s="105" t="s">
        <v>24</v>
      </c>
      <c r="W398" s="3" t="s">
        <v>10</v>
      </c>
      <c r="Y398" s="182" t="str">
        <f>_xlfn.LET(_xlpm.v,_xlfn.XLOOKUP(E398,'[1]SME09-01_LHM'!$D:$D,'[1]SME09-01_LHM'!$AL:$AL),IF(_xlpm.v=0,"",_xlpm.v))</f>
        <v>IBT-018</v>
      </c>
      <c r="Z398" s="104" t="str">
        <f>_xlfn.LET(_xlpm.v,IF(ISTEXT(Y398),_xlfn.XLOOKUP(Y398,'JP-PINT'!A:A,'JP-PINT'!B:B),""),IF(ISERROR(_xlpm.v),"",_xlpm.v))</f>
        <v>Invoiced object identifier</v>
      </c>
      <c r="AA398" s="23" t="s">
        <v>8</v>
      </c>
    </row>
    <row r="399" spans="1:27" ht="12.75" customHeight="1">
      <c r="A399" s="4">
        <f>IF(ISTEXT(E399),_xlfn.XLOOKUP(E399,'[1]SME09-01_LHM'!$D:$D,'[1]SME09-01_LHM'!$B:$B))</f>
        <v>514</v>
      </c>
      <c r="B399" s="4">
        <f>_xlfn.XLOOKUP(F399,'[1]SME09-01_LHM'!$I:$I,'[1]SME09-01_LHM'!$B:$B)</f>
        <v>514</v>
      </c>
      <c r="C399" s="22">
        <f>ROW()-25</f>
        <v>374</v>
      </c>
      <c r="D399" s="16" t="s">
        <v>622</v>
      </c>
      <c r="E399" s="16" t="s">
        <v>705</v>
      </c>
      <c r="F399" s="18" t="s">
        <v>704</v>
      </c>
      <c r="G399" s="18" t="s">
        <v>703</v>
      </c>
      <c r="H399" s="16" t="s">
        <v>8</v>
      </c>
      <c r="I399" s="16" t="s">
        <v>143</v>
      </c>
      <c r="J399" s="188" t="s">
        <v>18</v>
      </c>
      <c r="K399" s="181" t="s">
        <v>18</v>
      </c>
      <c r="L399" s="242"/>
      <c r="M399" s="186"/>
      <c r="N399" s="23" t="s">
        <v>24</v>
      </c>
      <c r="P399" s="105" t="s">
        <v>126</v>
      </c>
      <c r="Q399" s="105" t="s">
        <v>322</v>
      </c>
      <c r="R399" s="105" t="s">
        <v>10</v>
      </c>
      <c r="S399" s="104"/>
      <c r="T399" s="106"/>
      <c r="U399" s="106" t="s">
        <v>24</v>
      </c>
      <c r="V399" s="105" t="s">
        <v>24</v>
      </c>
      <c r="W399" s="3" t="s">
        <v>10</v>
      </c>
      <c r="Y399" s="182" t="str">
        <f>_xlfn.LET(_xlpm.v,_xlfn.XLOOKUP(E399,'[1]SME09-01_LHM'!$D:$D,'[1]SME09-01_LHM'!$AL:$AL),IF(_xlpm.v=0,"",_xlpm.v))</f>
        <v/>
      </c>
      <c r="Z399" s="104" t="str">
        <f>_xlfn.LET(_xlpm.v,IF(ISTEXT(Y399),_xlfn.XLOOKUP(Y399,'JP-PINT'!A:A,'JP-PINT'!B:B),""),IF(ISERROR(_xlpm.v),"",_xlpm.v))</f>
        <v/>
      </c>
      <c r="AA399" s="23" t="s">
        <v>24</v>
      </c>
    </row>
    <row r="400" spans="1:27" ht="12.75" customHeight="1">
      <c r="A400" s="4">
        <f>IF(ISTEXT(E400),_xlfn.XLOOKUP(E400,'[1]SME09-01_LHM'!$D:$D,'[1]SME09-01_LHM'!$B:$B))</f>
        <v>515</v>
      </c>
      <c r="B400" s="4">
        <f>_xlfn.XLOOKUP(F400,'[1]SME09-01_LHM'!$I:$I,'[1]SME09-01_LHM'!$B:$B)</f>
        <v>515</v>
      </c>
      <c r="C400" s="22">
        <f>ROW()-25</f>
        <v>375</v>
      </c>
      <c r="D400" s="16" t="s">
        <v>622</v>
      </c>
      <c r="E400" s="16" t="s">
        <v>702</v>
      </c>
      <c r="F400" s="93" t="s">
        <v>2761</v>
      </c>
      <c r="G400" s="18" t="s">
        <v>649</v>
      </c>
      <c r="H400" s="16" t="s">
        <v>8</v>
      </c>
      <c r="I400" s="70" t="s">
        <v>143</v>
      </c>
      <c r="J400" s="188" t="s">
        <v>18</v>
      </c>
      <c r="K400" s="181" t="s">
        <v>18</v>
      </c>
      <c r="L400" s="242"/>
      <c r="M400" s="186"/>
      <c r="N400" s="70"/>
      <c r="P400" s="105" t="s">
        <v>126</v>
      </c>
      <c r="Q400" s="105" t="s">
        <v>314</v>
      </c>
      <c r="R400" s="105" t="s">
        <v>10</v>
      </c>
      <c r="S400" s="198" t="s">
        <v>313</v>
      </c>
      <c r="T400" s="71" t="s">
        <v>158</v>
      </c>
      <c r="U400" s="71"/>
      <c r="V400" s="66"/>
      <c r="W400" s="3" t="s">
        <v>10</v>
      </c>
      <c r="Y400" s="182" t="str">
        <f>_xlfn.LET(_xlpm.v,_xlfn.XLOOKUP(E400,'[1]SME09-01_LHM'!$D:$D,'[1]SME09-01_LHM'!$AL:$AL),IF(_xlpm.v=0,"",_xlpm.v))</f>
        <v>IBT-018-1</v>
      </c>
      <c r="Z400" s="104" t="str">
        <f>_xlfn.LET(_xlpm.v,IF(ISTEXT(Y400),_xlfn.XLOOKUP(Y400,'JP-PINT'!A:A,'JP-PINT'!B:B),""),IF(ISERROR(_xlpm.v),"",_xlpm.v))</f>
        <v>The identification scheme identifier of the Invoiced object identifier.</v>
      </c>
      <c r="AA400" s="16"/>
    </row>
    <row r="401" spans="1:27" s="6" customFormat="1" ht="12.75" customHeight="1">
      <c r="A401" s="4">
        <f>IF(ISTEXT(E401),_xlfn.XLOOKUP(E401,'[1]SME09-01_LHM'!$D:$D,'[1]SME09-01_LHM'!$B:$B))</f>
        <v>516</v>
      </c>
      <c r="B401" s="4">
        <f>_xlfn.XLOOKUP(F401,'[1]SME09-01_LHM'!$I:$I,'[1]SME09-01_LHM'!$B:$B)</f>
        <v>516</v>
      </c>
      <c r="C401" s="22">
        <f>ROW()-25</f>
        <v>376</v>
      </c>
      <c r="D401" s="16" t="s">
        <v>622</v>
      </c>
      <c r="E401" s="16" t="s">
        <v>701</v>
      </c>
      <c r="F401" s="18" t="s">
        <v>700</v>
      </c>
      <c r="G401" s="18" t="s">
        <v>699</v>
      </c>
      <c r="H401" s="16" t="s">
        <v>8</v>
      </c>
      <c r="I401" s="70" t="s">
        <v>143</v>
      </c>
      <c r="J401" s="188" t="s">
        <v>18</v>
      </c>
      <c r="K401" s="181" t="s">
        <v>18</v>
      </c>
      <c r="L401" s="242"/>
      <c r="M401" s="186"/>
      <c r="N401" s="23" t="s">
        <v>24</v>
      </c>
      <c r="O401" s="7"/>
      <c r="P401" s="105" t="s">
        <v>126</v>
      </c>
      <c r="Q401" s="105" t="s">
        <v>307</v>
      </c>
      <c r="R401" s="105" t="s">
        <v>10</v>
      </c>
      <c r="S401" s="198"/>
      <c r="T401" s="71" t="s">
        <v>103</v>
      </c>
      <c r="U401" s="71" t="s">
        <v>24</v>
      </c>
      <c r="V401" s="66" t="s">
        <v>24</v>
      </c>
      <c r="W401" s="3" t="s">
        <v>10</v>
      </c>
      <c r="X401" s="3"/>
      <c r="Y401" s="182" t="str">
        <f>_xlfn.LET(_xlpm.v,_xlfn.XLOOKUP(E401,'[1]SME09-01_LHM'!$D:$D,'[1]SME09-01_LHM'!$AL:$AL),IF(_xlpm.v=0,"",_xlpm.v))</f>
        <v/>
      </c>
      <c r="Z401" s="104" t="str">
        <f>_xlfn.LET(_xlpm.v,IF(ISTEXT(Y401),_xlfn.XLOOKUP(Y401,'JP-PINT'!A:A,'JP-PINT'!B:B),""),IF(ISERROR(_xlpm.v),"",_xlpm.v))</f>
        <v/>
      </c>
      <c r="AA401" s="23" t="s">
        <v>24</v>
      </c>
    </row>
    <row r="402" spans="1:27" s="6" customFormat="1" ht="12.75" customHeight="1">
      <c r="A402" s="4">
        <f>IF(ISTEXT(E402),_xlfn.XLOOKUP(E402,'[1]SME09-01_LHM'!$D:$D,'[1]SME09-01_LHM'!$B:$B))</f>
        <v>0</v>
      </c>
      <c r="B402" s="4">
        <f>_xlfn.XLOOKUP(F402,'[1]SME09-01_LHM'!$I:$I,'[1]SME09-01_LHM'!$B:$B)</f>
        <v>0</v>
      </c>
      <c r="C402" s="22">
        <f>ROW()-25</f>
        <v>377</v>
      </c>
      <c r="D402" s="16" t="s">
        <v>622</v>
      </c>
      <c r="E402" s="16" t="s">
        <v>698</v>
      </c>
      <c r="F402" s="93" t="s">
        <v>2762</v>
      </c>
      <c r="G402" s="18" t="s">
        <v>697</v>
      </c>
      <c r="H402" s="16" t="s">
        <v>8</v>
      </c>
      <c r="I402" s="16" t="s">
        <v>143</v>
      </c>
      <c r="J402" s="188" t="s">
        <v>18</v>
      </c>
      <c r="K402" s="181" t="s">
        <v>18</v>
      </c>
      <c r="L402" s="242"/>
      <c r="M402" s="186"/>
      <c r="N402" s="23" t="s">
        <v>24</v>
      </c>
      <c r="O402" s="7"/>
      <c r="P402" s="105" t="s">
        <v>126</v>
      </c>
      <c r="Q402" s="105" t="s">
        <v>303</v>
      </c>
      <c r="R402" s="105" t="s">
        <v>10</v>
      </c>
      <c r="S402" s="104" t="s">
        <v>302</v>
      </c>
      <c r="T402" s="103" t="s">
        <v>158</v>
      </c>
      <c r="U402" s="103" t="s">
        <v>24</v>
      </c>
      <c r="V402" s="105" t="s">
        <v>24</v>
      </c>
      <c r="W402" s="3" t="s">
        <v>10</v>
      </c>
      <c r="X402" s="3"/>
      <c r="Y402" s="182" t="str">
        <f>_xlfn.LET(_xlpm.v,_xlfn.XLOOKUP(E402,'[1]SME09-01_LHM'!$D:$D,'[1]SME09-01_LHM'!$AL:$AL),IF(_xlpm.v=0,"",_xlpm.v))</f>
        <v/>
      </c>
      <c r="Z402" s="104" t="str">
        <f>_xlfn.LET(_xlpm.v,IF(ISTEXT(Y402),_xlfn.XLOOKUP(Y402,'JP-PINT'!A:A,'JP-PINT'!B:B),""),IF(ISERROR(_xlpm.v),"",_xlpm.v))</f>
        <v/>
      </c>
      <c r="AA402" s="23" t="s">
        <v>24</v>
      </c>
    </row>
    <row r="403" spans="1:27" ht="12.75" customHeight="1">
      <c r="A403" s="4">
        <f>IF(ISTEXT(E403),_xlfn.XLOOKUP(E403,'[1]SME09-01_LHM'!$D:$D,'[1]SME09-01_LHM'!$B:$B))</f>
        <v>0</v>
      </c>
      <c r="B403" s="4">
        <f>_xlfn.XLOOKUP(F403,'[1]SME09-01_LHM'!$I:$I,'[1]SME09-01_LHM'!$B:$B)</f>
        <v>0</v>
      </c>
      <c r="C403" s="22">
        <f>ROW()-25</f>
        <v>378</v>
      </c>
      <c r="D403" s="16" t="s">
        <v>622</v>
      </c>
      <c r="E403" s="16" t="s">
        <v>696</v>
      </c>
      <c r="F403" s="93" t="s">
        <v>2763</v>
      </c>
      <c r="G403" s="18" t="s">
        <v>695</v>
      </c>
      <c r="H403" s="16" t="s">
        <v>8</v>
      </c>
      <c r="I403" s="16" t="s">
        <v>143</v>
      </c>
      <c r="J403" s="188" t="s">
        <v>135</v>
      </c>
      <c r="K403" s="181" t="s">
        <v>135</v>
      </c>
      <c r="L403" s="242"/>
      <c r="M403" s="186"/>
      <c r="N403" s="23" t="s">
        <v>46</v>
      </c>
      <c r="P403" s="105" t="s">
        <v>126</v>
      </c>
      <c r="Q403" s="102" t="s">
        <v>298</v>
      </c>
      <c r="R403" s="105" t="s">
        <v>10</v>
      </c>
      <c r="S403" s="104" t="s">
        <v>64</v>
      </c>
      <c r="T403" s="106" t="s">
        <v>63</v>
      </c>
      <c r="U403" s="106" t="s">
        <v>312</v>
      </c>
      <c r="V403" s="105" t="s">
        <v>311</v>
      </c>
      <c r="W403" s="3" t="s">
        <v>10</v>
      </c>
      <c r="Y403" s="182" t="str">
        <f>_xlfn.LET(_xlpm.v,_xlfn.XLOOKUP(E403,'[1]SME09-01_LHM'!$D:$D,'[1]SME09-01_LHM'!$AL:$AL),IF(_xlpm.v=0,"",_xlpm.v))</f>
        <v/>
      </c>
      <c r="Z403" s="104" t="str">
        <f>_xlfn.LET(_xlpm.v,IF(ISTEXT(Y403),_xlfn.XLOOKUP(Y403,'JP-PINT'!A:A,'JP-PINT'!B:B),""),IF(ISERROR(_xlpm.v),"",_xlpm.v))</f>
        <v/>
      </c>
      <c r="AA403" s="23" t="s">
        <v>8</v>
      </c>
    </row>
    <row r="404" spans="1:27" s="6" customFormat="1" ht="12.75" customHeight="1">
      <c r="A404" s="4" t="e">
        <f>IF(ISTEXT(E404),_xlfn.XLOOKUP(E404,'[1]SME09-01_LHM'!$D:$D,'[1]SME09-01_LHM'!$B:$B))</f>
        <v>#N/A</v>
      </c>
      <c r="B404" s="4" t="e">
        <f>_xlfn.XLOOKUP(F404,'[1]SME09-01_LHM'!$I:$I,'[1]SME09-01_LHM'!$B:$B)</f>
        <v>#N/A</v>
      </c>
      <c r="C404" s="22">
        <f>ROW()-25</f>
        <v>379</v>
      </c>
      <c r="D404" s="26" t="s">
        <v>622</v>
      </c>
      <c r="E404" s="26" t="s">
        <v>693</v>
      </c>
      <c r="F404" s="25" t="s">
        <v>692</v>
      </c>
      <c r="G404" s="25" t="s">
        <v>691</v>
      </c>
      <c r="H404" s="26" t="s">
        <v>8</v>
      </c>
      <c r="I404" s="26" t="s">
        <v>143</v>
      </c>
      <c r="J404" s="201" t="s">
        <v>66</v>
      </c>
      <c r="K404" s="199" t="s">
        <v>66</v>
      </c>
      <c r="L404" s="245"/>
      <c r="M404" s="189"/>
      <c r="N404" s="181" t="s">
        <v>103</v>
      </c>
      <c r="O404" s="7"/>
      <c r="P404" s="105" t="s">
        <v>126</v>
      </c>
      <c r="Q404" s="105" t="s">
        <v>665</v>
      </c>
      <c r="R404" s="105" t="s">
        <v>25</v>
      </c>
      <c r="S404" s="104"/>
      <c r="T404" s="106" t="s">
        <v>103</v>
      </c>
      <c r="U404" s="106" t="s">
        <v>24</v>
      </c>
      <c r="V404" s="105" t="s">
        <v>24</v>
      </c>
      <c r="W404" s="3" t="s">
        <v>25</v>
      </c>
      <c r="X404" s="3"/>
      <c r="Y404" s="182"/>
      <c r="Z404" s="104" t="str">
        <f>_xlfn.LET(_xlpm.v,IF(ISTEXT(Y404),_xlfn.XLOOKUP(Y404,'JP-PINT'!A:A,'JP-PINT'!B:B),""),IF(ISERROR(_xlpm.v),"",_xlpm.v))</f>
        <v/>
      </c>
      <c r="AA404" s="23" t="s">
        <v>24</v>
      </c>
    </row>
    <row r="405" spans="1:27" ht="12.75" customHeight="1">
      <c r="A405" s="4">
        <f>IF(ISTEXT(E405),_xlfn.XLOOKUP(E405,'[1]SME09-01_LHM'!$D:$D,'[1]SME09-01_LHM'!$B:$B))</f>
        <v>520</v>
      </c>
      <c r="B405" s="4">
        <f>_xlfn.XLOOKUP(F405,'[1]SME09-01_LHM'!$I:$I,'[1]SME09-01_LHM'!$B:$B)</f>
        <v>520</v>
      </c>
      <c r="C405" s="22">
        <f>ROW()-25</f>
        <v>380</v>
      </c>
      <c r="D405" s="16" t="s">
        <v>622</v>
      </c>
      <c r="E405" s="16" t="s">
        <v>690</v>
      </c>
      <c r="F405" s="18" t="s">
        <v>689</v>
      </c>
      <c r="G405" s="18" t="s">
        <v>688</v>
      </c>
      <c r="H405" s="16" t="s">
        <v>31</v>
      </c>
      <c r="I405" s="16" t="s">
        <v>143</v>
      </c>
      <c r="J405" s="188" t="s">
        <v>66</v>
      </c>
      <c r="K405" s="181" t="s">
        <v>66</v>
      </c>
      <c r="L405" s="242"/>
      <c r="M405" s="186"/>
      <c r="N405" s="181" t="s">
        <v>17</v>
      </c>
      <c r="P405" s="105" t="s">
        <v>126</v>
      </c>
      <c r="Q405" s="105" t="s">
        <v>327</v>
      </c>
      <c r="R405" s="105" t="s">
        <v>10</v>
      </c>
      <c r="S405" s="104"/>
      <c r="T405" s="106" t="s">
        <v>103</v>
      </c>
      <c r="U405" s="106" t="s">
        <v>24</v>
      </c>
      <c r="V405" s="105" t="s">
        <v>24</v>
      </c>
      <c r="W405" s="3" t="s">
        <v>10</v>
      </c>
      <c r="Y405" s="182" t="str">
        <f>_xlfn.LET(_xlpm.v,_xlfn.XLOOKUP(E405,'[1]SME09-01_LHM'!$D:$D,'[1]SME09-01_LHM'!$AL:$AL),IF(_xlpm.v=0,"",_xlpm.v))</f>
        <v>IBT-017</v>
      </c>
      <c r="Z405" s="104" t="str">
        <f>_xlfn.LET(_xlpm.v,IF(ISTEXT(Y405),_xlfn.XLOOKUP(Y405,'JP-PINT'!A:A,'JP-PINT'!B:B),""),IF(ISERROR(_xlpm.v),"",_xlpm.v))</f>
        <v>Tender or lot reference</v>
      </c>
      <c r="AA405" s="23" t="s">
        <v>8</v>
      </c>
    </row>
    <row r="406" spans="1:27" ht="12.75" customHeight="1">
      <c r="A406" s="4">
        <f>IF(ISTEXT(E406),_xlfn.XLOOKUP(E406,'[1]SME09-01_LHM'!$D:$D,'[1]SME09-01_LHM'!$B:$B))</f>
        <v>521</v>
      </c>
      <c r="B406" s="4">
        <f>_xlfn.XLOOKUP(F406,'[1]SME09-01_LHM'!$I:$I,'[1]SME09-01_LHM'!$B:$B)</f>
        <v>521</v>
      </c>
      <c r="C406" s="22">
        <f>ROW()-25</f>
        <v>381</v>
      </c>
      <c r="D406" s="16" t="s">
        <v>622</v>
      </c>
      <c r="E406" s="16" t="s">
        <v>686</v>
      </c>
      <c r="F406" s="18" t="s">
        <v>685</v>
      </c>
      <c r="G406" s="18" t="s">
        <v>684</v>
      </c>
      <c r="H406" s="16" t="s">
        <v>8</v>
      </c>
      <c r="I406" s="16" t="s">
        <v>143</v>
      </c>
      <c r="J406" s="188" t="s">
        <v>18</v>
      </c>
      <c r="K406" s="181" t="s">
        <v>18</v>
      </c>
      <c r="L406" s="242"/>
      <c r="M406" s="186"/>
      <c r="N406" s="23" t="s">
        <v>24</v>
      </c>
      <c r="P406" s="105" t="s">
        <v>126</v>
      </c>
      <c r="Q406" s="105" t="s">
        <v>322</v>
      </c>
      <c r="R406" s="105" t="s">
        <v>10</v>
      </c>
      <c r="S406" s="104"/>
      <c r="T406" s="106"/>
      <c r="U406" s="106" t="s">
        <v>24</v>
      </c>
      <c r="V406" s="105" t="s">
        <v>24</v>
      </c>
      <c r="W406" s="3" t="s">
        <v>10</v>
      </c>
      <c r="Y406" s="182" t="str">
        <f>_xlfn.LET(_xlpm.v,_xlfn.XLOOKUP(E406,'[1]SME09-01_LHM'!$D:$D,'[1]SME09-01_LHM'!$AL:$AL),IF(_xlpm.v=0,"",_xlpm.v))</f>
        <v/>
      </c>
      <c r="Z406" s="104" t="str">
        <f>_xlfn.LET(_xlpm.v,IF(ISTEXT(Y406),_xlfn.XLOOKUP(Y406,'JP-PINT'!A:A,'JP-PINT'!B:B),""),IF(ISERROR(_xlpm.v),"",_xlpm.v))</f>
        <v/>
      </c>
      <c r="AA406" s="23" t="s">
        <v>24</v>
      </c>
    </row>
    <row r="407" spans="1:27" ht="12.75" customHeight="1">
      <c r="A407" s="4" t="e">
        <f>IF(ISTEXT(E407),_xlfn.XLOOKUP(E407,'[1]SME09-01_LHM'!$D:$D,'[1]SME09-01_LHM'!$B:$B))</f>
        <v>#N/A</v>
      </c>
      <c r="B407" s="4" t="e">
        <f>_xlfn.XLOOKUP(F407,'[1]SME09-01_LHM'!$I:$I,'[1]SME09-01_LHM'!$B:$B)</f>
        <v>#N/A</v>
      </c>
      <c r="C407" s="22">
        <f>ROW()-25</f>
        <v>382</v>
      </c>
      <c r="D407" s="16" t="s">
        <v>622</v>
      </c>
      <c r="E407" s="16" t="s">
        <v>683</v>
      </c>
      <c r="F407" s="93" t="s">
        <v>2764</v>
      </c>
      <c r="G407" s="18" t="s">
        <v>682</v>
      </c>
      <c r="H407" s="16" t="s">
        <v>8</v>
      </c>
      <c r="I407" s="16" t="s">
        <v>19</v>
      </c>
      <c r="J407" s="188" t="s">
        <v>18</v>
      </c>
      <c r="K407" s="181" t="s">
        <v>18</v>
      </c>
      <c r="L407" s="242"/>
      <c r="M407" s="186"/>
      <c r="N407" s="23" t="s">
        <v>24</v>
      </c>
      <c r="P407" s="105" t="s">
        <v>126</v>
      </c>
      <c r="Q407" s="105" t="s">
        <v>314</v>
      </c>
      <c r="R407" s="105" t="s">
        <v>10</v>
      </c>
      <c r="S407" s="104" t="s">
        <v>313</v>
      </c>
      <c r="T407" s="106" t="s">
        <v>158</v>
      </c>
      <c r="U407" s="106" t="s">
        <v>24</v>
      </c>
      <c r="V407" s="105" t="s">
        <v>24</v>
      </c>
      <c r="W407" s="3" t="s">
        <v>10</v>
      </c>
      <c r="Y407" s="182"/>
      <c r="Z407" s="104" t="str">
        <f>_xlfn.LET(_xlpm.v,IF(ISTEXT(Y407),_xlfn.XLOOKUP(Y407,'JP-PINT'!A:A,'JP-PINT'!B:B),""),IF(ISERROR(_xlpm.v),"",_xlpm.v))</f>
        <v/>
      </c>
      <c r="AA407" s="23" t="s">
        <v>24</v>
      </c>
    </row>
    <row r="408" spans="1:27" ht="12.75" customHeight="1">
      <c r="A408" s="4">
        <f>IF(ISTEXT(E408),_xlfn.XLOOKUP(E408,'[1]SME09-01_LHM'!$D:$D,'[1]SME09-01_LHM'!$B:$B))</f>
        <v>522</v>
      </c>
      <c r="B408" s="4">
        <f>_xlfn.XLOOKUP(F408,'[1]SME09-01_LHM'!$I:$I,'[1]SME09-01_LHM'!$B:$B)</f>
        <v>522</v>
      </c>
      <c r="C408" s="22">
        <f>ROW()-25</f>
        <v>383</v>
      </c>
      <c r="D408" s="16" t="s">
        <v>622</v>
      </c>
      <c r="E408" s="16" t="s">
        <v>681</v>
      </c>
      <c r="F408" s="18" t="s">
        <v>680</v>
      </c>
      <c r="G408" s="18" t="s">
        <v>679</v>
      </c>
      <c r="H408" s="16" t="s">
        <v>8</v>
      </c>
      <c r="I408" s="70" t="s">
        <v>143</v>
      </c>
      <c r="J408" s="188" t="s">
        <v>18</v>
      </c>
      <c r="K408" s="181" t="s">
        <v>18</v>
      </c>
      <c r="L408" s="242"/>
      <c r="M408" s="186"/>
      <c r="N408" s="23" t="s">
        <v>24</v>
      </c>
      <c r="P408" s="105" t="s">
        <v>126</v>
      </c>
      <c r="Q408" s="105" t="s">
        <v>307</v>
      </c>
      <c r="R408" s="105" t="s">
        <v>10</v>
      </c>
      <c r="S408" s="198"/>
      <c r="T408" s="71" t="s">
        <v>24</v>
      </c>
      <c r="U408" s="71" t="s">
        <v>24</v>
      </c>
      <c r="V408" s="66" t="s">
        <v>24</v>
      </c>
      <c r="W408" s="3" t="s">
        <v>10</v>
      </c>
      <c r="Y408" s="182" t="str">
        <f>_xlfn.LET(_xlpm.v,_xlfn.XLOOKUP(E408,'[1]SME09-01_LHM'!$D:$D,'[1]SME09-01_LHM'!$AL:$AL),IF(_xlpm.v=0,"",_xlpm.v))</f>
        <v/>
      </c>
      <c r="Z408" s="104" t="str">
        <f>_xlfn.LET(_xlpm.v,IF(ISTEXT(Y408),_xlfn.XLOOKUP(Y408,'JP-PINT'!A:A,'JP-PINT'!B:B),""),IF(ISERROR(_xlpm.v),"",_xlpm.v))</f>
        <v/>
      </c>
      <c r="AA408" s="23" t="s">
        <v>24</v>
      </c>
    </row>
    <row r="409" spans="1:27" s="6" customFormat="1" ht="12.75" customHeight="1">
      <c r="A409" s="4">
        <f>IF(ISTEXT(E409),_xlfn.XLOOKUP(E409,'[1]SME09-01_LHM'!$D:$D,'[1]SME09-01_LHM'!$B:$B))</f>
        <v>523</v>
      </c>
      <c r="B409" s="4">
        <f>_xlfn.XLOOKUP(F409,'[1]SME09-01_LHM'!$I:$I,'[1]SME09-01_LHM'!$B:$B)</f>
        <v>523</v>
      </c>
      <c r="C409" s="22">
        <f>ROW()-25</f>
        <v>384</v>
      </c>
      <c r="D409" s="16" t="s">
        <v>622</v>
      </c>
      <c r="E409" s="16" t="s">
        <v>678</v>
      </c>
      <c r="F409" s="18" t="s">
        <v>677</v>
      </c>
      <c r="G409" s="18" t="s">
        <v>676</v>
      </c>
      <c r="H409" s="16" t="s">
        <v>8</v>
      </c>
      <c r="I409" s="16" t="s">
        <v>143</v>
      </c>
      <c r="J409" s="188" t="s">
        <v>18</v>
      </c>
      <c r="K409" s="181" t="s">
        <v>18</v>
      </c>
      <c r="L409" s="242"/>
      <c r="M409" s="186"/>
      <c r="N409" s="23" t="s">
        <v>24</v>
      </c>
      <c r="O409" s="7"/>
      <c r="P409" s="105" t="s">
        <v>126</v>
      </c>
      <c r="Q409" s="105" t="s">
        <v>504</v>
      </c>
      <c r="R409" s="105" t="s">
        <v>10</v>
      </c>
      <c r="S409" s="104"/>
      <c r="T409" s="103"/>
      <c r="U409" s="103" t="s">
        <v>24</v>
      </c>
      <c r="V409" s="105" t="s">
        <v>24</v>
      </c>
      <c r="W409" s="3" t="s">
        <v>10</v>
      </c>
      <c r="X409" s="3"/>
      <c r="Y409" s="182" t="str">
        <f>_xlfn.LET(_xlpm.v,_xlfn.XLOOKUP(E409,'[1]SME09-01_LHM'!$D:$D,'[1]SME09-01_LHM'!$AL:$AL),IF(_xlpm.v=0,"",_xlpm.v))</f>
        <v/>
      </c>
      <c r="Z409" s="104" t="str">
        <f>_xlfn.LET(_xlpm.v,IF(ISTEXT(Y409),_xlfn.XLOOKUP(Y409,'JP-PINT'!A:A,'JP-PINT'!B:B),""),IF(ISERROR(_xlpm.v),"",_xlpm.v))</f>
        <v/>
      </c>
      <c r="AA409" s="23" t="s">
        <v>24</v>
      </c>
    </row>
    <row r="410" spans="1:27" ht="12.75" customHeight="1">
      <c r="A410" s="4">
        <f>IF(ISTEXT(E410),_xlfn.XLOOKUP(E410,'[1]SME09-01_LHM'!$D:$D,'[1]SME09-01_LHM'!$B:$B))</f>
        <v>524</v>
      </c>
      <c r="B410" s="4">
        <f>_xlfn.XLOOKUP(F410,'[1]SME09-01_LHM'!$I:$I,'[1]SME09-01_LHM'!$B:$B)</f>
        <v>524</v>
      </c>
      <c r="C410" s="22">
        <f>ROW()-25</f>
        <v>385</v>
      </c>
      <c r="D410" s="16" t="s">
        <v>622</v>
      </c>
      <c r="E410" s="16" t="s">
        <v>675</v>
      </c>
      <c r="F410" s="93" t="s">
        <v>2765</v>
      </c>
      <c r="G410" s="18" t="s">
        <v>674</v>
      </c>
      <c r="H410" s="16" t="s">
        <v>8</v>
      </c>
      <c r="I410" s="16" t="s">
        <v>143</v>
      </c>
      <c r="J410" s="188" t="s">
        <v>66</v>
      </c>
      <c r="K410" s="181" t="s">
        <v>66</v>
      </c>
      <c r="L410" s="242"/>
      <c r="M410" s="186"/>
      <c r="N410" s="181" t="s">
        <v>398</v>
      </c>
      <c r="P410" s="105" t="s">
        <v>126</v>
      </c>
      <c r="Q410" s="105" t="s">
        <v>303</v>
      </c>
      <c r="R410" s="105" t="s">
        <v>10</v>
      </c>
      <c r="S410" s="104" t="s">
        <v>302</v>
      </c>
      <c r="T410" s="106" t="s">
        <v>158</v>
      </c>
      <c r="U410" s="106" t="s">
        <v>673</v>
      </c>
      <c r="V410" s="152" t="s">
        <v>672</v>
      </c>
      <c r="W410" s="3" t="s">
        <v>10</v>
      </c>
      <c r="Y410" s="182" t="str">
        <f>_xlfn.LET(_xlpm.v,_xlfn.XLOOKUP(E410,'[1]SME09-01_LHM'!$D:$D,'[1]SME09-01_LHM'!$AL:$AL),IF(_xlpm.v=0,"",_xlpm.v))</f>
        <v/>
      </c>
      <c r="Z410" s="104" t="str">
        <f>_xlfn.LET(_xlpm.v,IF(ISTEXT(Y410),_xlfn.XLOOKUP(Y410,'JP-PINT'!A:A,'JP-PINT'!B:B),""),IF(ISERROR(_xlpm.v),"",_xlpm.v))</f>
        <v/>
      </c>
      <c r="AA410" s="23" t="s">
        <v>24</v>
      </c>
    </row>
    <row r="411" spans="1:27" s="304" customFormat="1" ht="12.75" customHeight="1">
      <c r="A411" s="4" t="e">
        <f>IF(ISTEXT(E411),_xlfn.XLOOKUP(E411,'[1]SME09-01_LHM'!$D:$D,'[1]SME09-01_LHM'!$B:$B))</f>
        <v>#N/A</v>
      </c>
      <c r="B411" s="4" t="e">
        <f>_xlfn.XLOOKUP(F411,'[1]SME09-01_LHM'!$I:$I,'[1]SME09-01_LHM'!$B:$B)</f>
        <v>#N/A</v>
      </c>
      <c r="C411" s="108">
        <f>ROW()-25</f>
        <v>386</v>
      </c>
      <c r="D411" s="113" t="s">
        <v>622</v>
      </c>
      <c r="E411" s="113" t="s">
        <v>671</v>
      </c>
      <c r="F411" s="120" t="s">
        <v>2766</v>
      </c>
      <c r="G411" s="120" t="s">
        <v>670</v>
      </c>
      <c r="H411" s="113" t="s">
        <v>8</v>
      </c>
      <c r="I411" s="113" t="s">
        <v>143</v>
      </c>
      <c r="J411" s="327" t="s">
        <v>18</v>
      </c>
      <c r="K411" s="328" t="s">
        <v>18</v>
      </c>
      <c r="L411" s="329"/>
      <c r="M411" s="330"/>
      <c r="N411" s="121" t="s">
        <v>24</v>
      </c>
      <c r="O411" s="111"/>
      <c r="P411" s="161" t="s">
        <v>126</v>
      </c>
      <c r="Q411" s="161" t="s">
        <v>496</v>
      </c>
      <c r="R411" s="161" t="s">
        <v>10</v>
      </c>
      <c r="S411" s="132" t="s">
        <v>64</v>
      </c>
      <c r="T411" s="162" t="s">
        <v>63</v>
      </c>
      <c r="U411" s="162" t="s">
        <v>24</v>
      </c>
      <c r="V411" s="161" t="s">
        <v>24</v>
      </c>
      <c r="W411" s="112" t="s">
        <v>10</v>
      </c>
      <c r="X411" s="112"/>
      <c r="Y411" s="182"/>
      <c r="Z411" s="104" t="str">
        <f>_xlfn.LET(_xlpm.v,IF(ISTEXT(Y411),_xlfn.XLOOKUP(Y411,'JP-PINT'!A:A,'JP-PINT'!B:B),""),IF(ISERROR(_xlpm.v),"",_xlpm.v))</f>
        <v/>
      </c>
      <c r="AA411" s="121" t="s">
        <v>24</v>
      </c>
    </row>
    <row r="412" spans="1:27" ht="12.75" customHeight="1">
      <c r="A412" s="4">
        <f>IF(ISTEXT(E412),_xlfn.XLOOKUP(E412,'[1]SME09-01_LHM'!$D:$D,'[1]SME09-01_LHM'!$B:$B))</f>
        <v>525</v>
      </c>
      <c r="B412" s="4">
        <f>_xlfn.XLOOKUP(F412,'[1]SME09-01_LHM'!$I:$I,'[1]SME09-01_LHM'!$B:$B)</f>
        <v>525</v>
      </c>
      <c r="C412" s="22">
        <f>ROW()-25</f>
        <v>387</v>
      </c>
      <c r="D412" s="16" t="s">
        <v>622</v>
      </c>
      <c r="E412" s="16" t="s">
        <v>669</v>
      </c>
      <c r="F412" s="93" t="s">
        <v>2767</v>
      </c>
      <c r="G412" s="18" t="s">
        <v>668</v>
      </c>
      <c r="H412" s="16" t="s">
        <v>8</v>
      </c>
      <c r="I412" s="16" t="s">
        <v>143</v>
      </c>
      <c r="J412" s="188" t="s">
        <v>18</v>
      </c>
      <c r="K412" s="181" t="s">
        <v>18</v>
      </c>
      <c r="L412" s="242"/>
      <c r="M412" s="186"/>
      <c r="N412" s="23" t="s">
        <v>24</v>
      </c>
      <c r="P412" s="105" t="s">
        <v>126</v>
      </c>
      <c r="Q412" s="102" t="s">
        <v>298</v>
      </c>
      <c r="R412" s="105" t="s">
        <v>10</v>
      </c>
      <c r="S412" s="104" t="s">
        <v>64</v>
      </c>
      <c r="T412" s="106" t="s">
        <v>63</v>
      </c>
      <c r="U412" s="106" t="s">
        <v>24</v>
      </c>
      <c r="V412" s="105" t="s">
        <v>24</v>
      </c>
      <c r="W412" s="3" t="s">
        <v>10</v>
      </c>
      <c r="Y412" s="182" t="str">
        <f>_xlfn.LET(_xlpm.v,_xlfn.XLOOKUP(E412,'[1]SME09-01_LHM'!$D:$D,'[1]SME09-01_LHM'!$AL:$AL),IF(_xlpm.v=0,"",_xlpm.v))</f>
        <v/>
      </c>
      <c r="Z412" s="104" t="str">
        <f>_xlfn.LET(_xlpm.v,IF(ISTEXT(Y412),_xlfn.XLOOKUP(Y412,'JP-PINT'!A:A,'JP-PINT'!B:B),""),IF(ISERROR(_xlpm.v),"",_xlpm.v))</f>
        <v/>
      </c>
      <c r="AA412" s="23" t="s">
        <v>24</v>
      </c>
    </row>
    <row r="413" spans="1:27" ht="12.75" customHeight="1">
      <c r="A413" s="4">
        <f>IF(ISTEXT(E413),_xlfn.XLOOKUP(E413,'[1]SME09-01_LHM'!$D:$D,'[1]SME09-01_LHM'!$B:$B))</f>
        <v>526</v>
      </c>
      <c r="B413" s="4">
        <f>_xlfn.XLOOKUP(F413,'[1]SME09-01_LHM'!$I:$I,'[1]SME09-01_LHM'!$B:$B)</f>
        <v>526</v>
      </c>
      <c r="C413" s="22">
        <f>ROW()-25</f>
        <v>388</v>
      </c>
      <c r="D413" s="26" t="s">
        <v>622</v>
      </c>
      <c r="E413" s="26" t="s">
        <v>667</v>
      </c>
      <c r="F413" s="25" t="s">
        <v>2768</v>
      </c>
      <c r="G413" s="25" t="s">
        <v>666</v>
      </c>
      <c r="H413" s="26" t="s">
        <v>43</v>
      </c>
      <c r="I413" s="26" t="s">
        <v>19</v>
      </c>
      <c r="J413" s="201" t="s">
        <v>66</v>
      </c>
      <c r="K413" s="199" t="s">
        <v>66</v>
      </c>
      <c r="L413" s="199" t="s">
        <v>66</v>
      </c>
      <c r="M413" s="189"/>
      <c r="N413" s="181" t="s">
        <v>221</v>
      </c>
      <c r="P413" s="105" t="s">
        <v>126</v>
      </c>
      <c r="Q413" s="105" t="s">
        <v>665</v>
      </c>
      <c r="R413" s="105" t="s">
        <v>25</v>
      </c>
      <c r="S413" s="104"/>
      <c r="T413" s="106" t="s">
        <v>24</v>
      </c>
      <c r="U413" s="106" t="s">
        <v>24</v>
      </c>
      <c r="V413" s="105" t="s">
        <v>24</v>
      </c>
      <c r="W413" s="3" t="s">
        <v>25</v>
      </c>
      <c r="X413" s="3" t="s">
        <v>25</v>
      </c>
      <c r="Y413" s="182" t="str">
        <f>_xlfn.LET(_xlpm.v,_xlfn.XLOOKUP(E413,'[1]SME09-01_LHM'!$D:$D,'[1]SME09-01_LHM'!$AL:$AL),IF(_xlpm.v=0,"",_xlpm.v))</f>
        <v>IBG-24</v>
      </c>
      <c r="Z413" s="104" t="str">
        <f>_xlfn.LET(_xlpm.v,IF(ISTEXT(Y413),_xlfn.XLOOKUP(Y413,'JP-PINT'!A:A,'JP-PINT'!B:B),""),IF(ISERROR(_xlpm.v),"",_xlpm.v))</f>
        <v>ADDITIONAL SUPPORTING DOCUMENTS</v>
      </c>
      <c r="AA413" s="23" t="s">
        <v>43</v>
      </c>
    </row>
    <row r="414" spans="1:27" ht="12.75" customHeight="1">
      <c r="A414" s="4">
        <f>IF(ISTEXT(E414),_xlfn.XLOOKUP(E414,'[1]SME09-01_LHM'!$D:$D,'[1]SME09-01_LHM'!$B:$B))</f>
        <v>528</v>
      </c>
      <c r="B414" s="4">
        <f>_xlfn.XLOOKUP(F414,'[1]SME09-01_LHM'!$I:$I,'[1]SME09-01_LHM'!$B:$B)</f>
        <v>528</v>
      </c>
      <c r="C414" s="22">
        <f>ROW()-25</f>
        <v>389</v>
      </c>
      <c r="D414" s="16" t="s">
        <v>622</v>
      </c>
      <c r="E414" s="16" t="s">
        <v>663</v>
      </c>
      <c r="F414" s="18" t="s">
        <v>662</v>
      </c>
      <c r="G414" s="18" t="s">
        <v>661</v>
      </c>
      <c r="H414" s="16" t="s">
        <v>31</v>
      </c>
      <c r="I414" s="16" t="s">
        <v>19</v>
      </c>
      <c r="J414" s="188" t="s">
        <v>66</v>
      </c>
      <c r="K414" s="181" t="s">
        <v>66</v>
      </c>
      <c r="L414" s="181" t="s">
        <v>66</v>
      </c>
      <c r="M414" s="186"/>
      <c r="N414" s="181" t="s">
        <v>183</v>
      </c>
      <c r="P414" s="105" t="s">
        <v>126</v>
      </c>
      <c r="Q414" s="105" t="s">
        <v>327</v>
      </c>
      <c r="R414" s="105" t="s">
        <v>10</v>
      </c>
      <c r="S414" s="104"/>
      <c r="T414" s="106" t="s">
        <v>24</v>
      </c>
      <c r="U414" s="106" t="s">
        <v>24</v>
      </c>
      <c r="V414" s="105" t="s">
        <v>24</v>
      </c>
      <c r="W414" s="3" t="s">
        <v>10</v>
      </c>
      <c r="X414" s="3" t="s">
        <v>10</v>
      </c>
      <c r="Y414" s="182" t="str">
        <f>_xlfn.LET(_xlpm.v,_xlfn.XLOOKUP(E414,'[1]SME09-01_LHM'!$D:$D,'[1]SME09-01_LHM'!$AL:$AL),IF(_xlpm.v=0,"",_xlpm.v))</f>
        <v>IBT-122</v>
      </c>
      <c r="Z414" s="104" t="str">
        <f>_xlfn.LET(_xlpm.v,IF(ISTEXT(Y414),_xlfn.XLOOKUP(Y414,'JP-PINT'!A:A,'JP-PINT'!B:B),""),IF(ISERROR(_xlpm.v),"",_xlpm.v))</f>
        <v>&gt; Supporting document reference</v>
      </c>
      <c r="AA414" s="23" t="s">
        <v>31</v>
      </c>
    </row>
    <row r="415" spans="1:27" ht="12.75" customHeight="1">
      <c r="A415" s="4">
        <f>IF(ISTEXT(E415),_xlfn.XLOOKUP(E415,'[1]SME09-01_LHM'!$D:$D,'[1]SME09-01_LHM'!$B:$B))</f>
        <v>395</v>
      </c>
      <c r="B415" s="4">
        <f>_xlfn.XLOOKUP(F415,'[1]SME09-01_LHM'!$I:$I,'[1]SME09-01_LHM'!$B:$B)</f>
        <v>395</v>
      </c>
      <c r="C415" s="18">
        <f>ROW()-25</f>
        <v>390</v>
      </c>
      <c r="D415" s="16" t="s">
        <v>622</v>
      </c>
      <c r="E415" s="16" t="s">
        <v>659</v>
      </c>
      <c r="F415" s="18" t="s">
        <v>658</v>
      </c>
      <c r="G415" s="18" t="s">
        <v>657</v>
      </c>
      <c r="H415" s="16" t="s">
        <v>8</v>
      </c>
      <c r="I415" s="331" t="s">
        <v>227</v>
      </c>
      <c r="J415" s="188" t="s">
        <v>18</v>
      </c>
      <c r="K415" s="181" t="s">
        <v>18</v>
      </c>
      <c r="L415" s="181" t="s">
        <v>18</v>
      </c>
      <c r="M415" s="186"/>
      <c r="N415" s="181"/>
      <c r="O415" s="270"/>
      <c r="P415" s="105" t="s">
        <v>126</v>
      </c>
      <c r="Q415" s="105" t="s">
        <v>523</v>
      </c>
      <c r="R415" s="105" t="s">
        <v>656</v>
      </c>
      <c r="S415" s="105"/>
      <c r="T415" s="106"/>
      <c r="U415" s="106"/>
      <c r="V415" s="104"/>
      <c r="W415" s="3" t="s">
        <v>10</v>
      </c>
      <c r="X415" s="3" t="s">
        <v>10</v>
      </c>
      <c r="Y415" s="182" t="str">
        <f>_xlfn.LET(_xlpm.v,_xlfn.XLOOKUP(E415,'[1]SME09-01_LHM'!$D:$D,'[1]SME09-01_LHM'!$AL:$AL),IF(_xlpm.v=0,"",_xlpm.v))</f>
        <v/>
      </c>
      <c r="Z415" s="104" t="str">
        <f>_xlfn.LET(_xlpm.v,IF(ISTEXT(Y415),_xlfn.XLOOKUP(Y415,'JP-PINT'!A:A,'JP-PINT'!B:B),""),IF(ISERROR(_xlpm.v),"",_xlpm.v))</f>
        <v/>
      </c>
      <c r="AA415" s="16"/>
    </row>
    <row r="416" spans="1:27" s="6" customFormat="1" ht="12.75" customHeight="1">
      <c r="A416" s="4">
        <f>IF(ISTEXT(E416),_xlfn.XLOOKUP(E416,'[1]SME09-01_LHM'!$D:$D,'[1]SME09-01_LHM'!$B:$B))</f>
        <v>396</v>
      </c>
      <c r="B416" s="4">
        <f>_xlfn.XLOOKUP(F416,'[1]SME09-01_LHM'!$I:$I,'[1]SME09-01_LHM'!$B:$B)</f>
        <v>396</v>
      </c>
      <c r="C416" s="22">
        <f>ROW()-25</f>
        <v>391</v>
      </c>
      <c r="D416" s="16" t="s">
        <v>622</v>
      </c>
      <c r="E416" s="16" t="s">
        <v>655</v>
      </c>
      <c r="F416" s="18" t="s">
        <v>654</v>
      </c>
      <c r="G416" s="18" t="s">
        <v>653</v>
      </c>
      <c r="H416" s="16" t="s">
        <v>8</v>
      </c>
      <c r="I416" s="16" t="s">
        <v>19</v>
      </c>
      <c r="J416" s="188" t="s">
        <v>66</v>
      </c>
      <c r="K416" s="188" t="s">
        <v>66</v>
      </c>
      <c r="L416" s="188" t="s">
        <v>66</v>
      </c>
      <c r="M416" s="186"/>
      <c r="N416" s="181" t="s">
        <v>46</v>
      </c>
      <c r="O416" s="62"/>
      <c r="P416" s="105" t="s">
        <v>126</v>
      </c>
      <c r="Q416" s="105" t="s">
        <v>322</v>
      </c>
      <c r="R416" s="105" t="s">
        <v>10</v>
      </c>
      <c r="S416" s="104"/>
      <c r="T416" s="106"/>
      <c r="U416" s="106"/>
      <c r="V416" s="105"/>
      <c r="W416" s="3" t="s">
        <v>10</v>
      </c>
      <c r="X416" s="3" t="s">
        <v>10</v>
      </c>
      <c r="Y416" s="182" t="str">
        <f>_xlfn.LET(_xlpm.v,_xlfn.XLOOKUP(E416,'[1]SME09-01_LHM'!$D:$D,'[1]SME09-01_LHM'!$AL:$AL),IF(_xlpm.v=0,"",_xlpm.v))</f>
        <v/>
      </c>
      <c r="Z416" s="104" t="str">
        <f>_xlfn.LET(_xlpm.v,IF(ISTEXT(Y416),_xlfn.XLOOKUP(Y416,'JP-PINT'!A:A,'JP-PINT'!B:B),""),IF(ISERROR(_xlpm.v),"",_xlpm.v))</f>
        <v/>
      </c>
      <c r="AA416" s="23" t="s">
        <v>8</v>
      </c>
    </row>
    <row r="417" spans="1:27" ht="12.75" customHeight="1">
      <c r="A417" s="4">
        <f>IF(ISTEXT(E417),_xlfn.XLOOKUP(E417,'[1]SME09-01_LHM'!$D:$D,'[1]SME09-01_LHM'!$B:$B))</f>
        <v>531</v>
      </c>
      <c r="B417" s="4">
        <f>_xlfn.XLOOKUP(F417,'[1]SME09-01_LHM'!$I:$I,'[1]SME09-01_LHM'!$B:$B)</f>
        <v>531</v>
      </c>
      <c r="C417" s="22">
        <f>ROW()-25</f>
        <v>392</v>
      </c>
      <c r="D417" s="16" t="s">
        <v>622</v>
      </c>
      <c r="E417" s="16" t="s">
        <v>651</v>
      </c>
      <c r="F417" s="18" t="s">
        <v>650</v>
      </c>
      <c r="G417" s="18" t="s">
        <v>649</v>
      </c>
      <c r="H417" s="16" t="s">
        <v>8</v>
      </c>
      <c r="I417" s="16" t="s">
        <v>19</v>
      </c>
      <c r="J417" s="188" t="s">
        <v>66</v>
      </c>
      <c r="K417" s="181" t="s">
        <v>66</v>
      </c>
      <c r="L417" s="181" t="s">
        <v>66</v>
      </c>
      <c r="M417" s="186"/>
      <c r="N417" s="181" t="s">
        <v>398</v>
      </c>
      <c r="O417" s="62"/>
      <c r="P417" s="105" t="s">
        <v>126</v>
      </c>
      <c r="Q417" s="105" t="s">
        <v>314</v>
      </c>
      <c r="R417" s="105" t="s">
        <v>10</v>
      </c>
      <c r="S417" s="104" t="s">
        <v>313</v>
      </c>
      <c r="T417" s="106" t="s">
        <v>158</v>
      </c>
      <c r="U417" s="106" t="s">
        <v>648</v>
      </c>
      <c r="V417" s="105"/>
      <c r="W417" s="3" t="s">
        <v>10</v>
      </c>
      <c r="X417" s="3" t="s">
        <v>10</v>
      </c>
      <c r="Y417" s="182" t="str">
        <f>_xlfn.LET(_xlpm.v,_xlfn.XLOOKUP(E417,'[1]SME09-01_LHM'!$D:$D,'[1]SME09-01_LHM'!$AL:$AL),IF(_xlpm.v=0,"",_xlpm.v))</f>
        <v/>
      </c>
      <c r="Z417" s="104" t="str">
        <f>_xlfn.LET(_xlpm.v,IF(ISTEXT(Y417),_xlfn.XLOOKUP(Y417,'JP-PINT'!A:A,'JP-PINT'!B:B),""),IF(ISERROR(_xlpm.v),"",_xlpm.v))</f>
        <v/>
      </c>
      <c r="AA417" s="23" t="s">
        <v>24</v>
      </c>
    </row>
    <row r="418" spans="1:27" ht="12.75" customHeight="1">
      <c r="A418" s="4">
        <f>IF(ISTEXT(E418),_xlfn.XLOOKUP(E418,'[1]SME09-01_LHM'!$D:$D,'[1]SME09-01_LHM'!$B:$B))</f>
        <v>532</v>
      </c>
      <c r="B418" s="4">
        <f>_xlfn.XLOOKUP(F418,'[1]SME09-01_LHM'!$I:$I,'[1]SME09-01_LHM'!$B:$B)</f>
        <v>532</v>
      </c>
      <c r="C418" s="22">
        <f>ROW()-25</f>
        <v>393</v>
      </c>
      <c r="D418" s="16" t="s">
        <v>622</v>
      </c>
      <c r="E418" s="16" t="s">
        <v>647</v>
      </c>
      <c r="F418" s="18" t="s">
        <v>646</v>
      </c>
      <c r="G418" s="18" t="s">
        <v>645</v>
      </c>
      <c r="H418" s="16" t="s">
        <v>8</v>
      </c>
      <c r="I418" s="70" t="s">
        <v>19</v>
      </c>
      <c r="J418" s="38" t="s">
        <v>644</v>
      </c>
      <c r="K418" s="35" t="s">
        <v>644</v>
      </c>
      <c r="L418" s="35" t="s">
        <v>644</v>
      </c>
      <c r="M418" s="19"/>
      <c r="N418" s="23" t="s">
        <v>24</v>
      </c>
      <c r="P418" s="105" t="s">
        <v>126</v>
      </c>
      <c r="Q418" s="105" t="s">
        <v>307</v>
      </c>
      <c r="R418" s="105" t="s">
        <v>10</v>
      </c>
      <c r="S418" s="198"/>
      <c r="T418" s="71" t="s">
        <v>133</v>
      </c>
      <c r="U418" s="71" t="s">
        <v>24</v>
      </c>
      <c r="V418" s="66" t="s">
        <v>24</v>
      </c>
      <c r="W418" s="3" t="s">
        <v>10</v>
      </c>
      <c r="X418" s="3" t="s">
        <v>10</v>
      </c>
      <c r="Y418" s="182" t="str">
        <f>_xlfn.LET(_xlpm.v,_xlfn.XLOOKUP(E418,'[1]SME09-01_LHM'!$D:$D,'[1]SME09-01_LHM'!$AL:$AL),IF(_xlpm.v=0,"",_xlpm.v))</f>
        <v/>
      </c>
      <c r="Z418" s="104" t="str">
        <f>_xlfn.LET(_xlpm.v,IF(ISTEXT(Y418),_xlfn.XLOOKUP(Y418,'JP-PINT'!A:A,'JP-PINT'!B:B),""),IF(ISERROR(_xlpm.v),"",_xlpm.v))</f>
        <v/>
      </c>
      <c r="AA418" s="23" t="s">
        <v>24</v>
      </c>
    </row>
    <row r="419" spans="1:27" s="6" customFormat="1" ht="12.75" customHeight="1">
      <c r="A419" s="4">
        <f>IF(ISTEXT(E419),_xlfn.XLOOKUP(E419,'[1]SME09-01_LHM'!$D:$D,'[1]SME09-01_LHM'!$B:$B))</f>
        <v>533</v>
      </c>
      <c r="B419" s="4">
        <f>_xlfn.XLOOKUP(F419,'[1]SME09-01_LHM'!$I:$I,'[1]SME09-01_LHM'!$B:$B)</f>
        <v>533</v>
      </c>
      <c r="C419" s="22">
        <f>ROW()-25</f>
        <v>394</v>
      </c>
      <c r="D419" s="16" t="s">
        <v>622</v>
      </c>
      <c r="E419" s="16" t="s">
        <v>643</v>
      </c>
      <c r="F419" s="18" t="s">
        <v>642</v>
      </c>
      <c r="G419" s="18" t="s">
        <v>641</v>
      </c>
      <c r="H419" s="16" t="s">
        <v>8</v>
      </c>
      <c r="I419" s="16" t="s">
        <v>19</v>
      </c>
      <c r="J419" s="188" t="s">
        <v>18</v>
      </c>
      <c r="K419" s="188" t="s">
        <v>18</v>
      </c>
      <c r="L419" s="188" t="s">
        <v>18</v>
      </c>
      <c r="M419" s="186"/>
      <c r="N419" s="23" t="s">
        <v>24</v>
      </c>
      <c r="O419" s="7"/>
      <c r="P419" s="105" t="s">
        <v>126</v>
      </c>
      <c r="Q419" s="105" t="s">
        <v>504</v>
      </c>
      <c r="R419" s="105" t="s">
        <v>10</v>
      </c>
      <c r="S419" s="104"/>
      <c r="T419" s="103"/>
      <c r="U419" s="103" t="s">
        <v>24</v>
      </c>
      <c r="V419" s="105" t="s">
        <v>24</v>
      </c>
      <c r="W419" s="3" t="s">
        <v>10</v>
      </c>
      <c r="X419" s="3" t="s">
        <v>10</v>
      </c>
      <c r="Y419" s="182" t="str">
        <f>_xlfn.LET(_xlpm.v,_xlfn.XLOOKUP(E419,'[1]SME09-01_LHM'!$D:$D,'[1]SME09-01_LHM'!$AL:$AL),IF(_xlpm.v=0,"",_xlpm.v))</f>
        <v>IBT-123</v>
      </c>
      <c r="Z419" s="104" t="str">
        <f>_xlfn.LET(_xlpm.v,IF(ISTEXT(Y419),_xlfn.XLOOKUP(Y419,'JP-PINT'!A:A,'JP-PINT'!B:B),""),IF(ISERROR(_xlpm.v),"",_xlpm.v))</f>
        <v>&gt; Supporting document description</v>
      </c>
      <c r="AA419" s="23" t="s">
        <v>24</v>
      </c>
    </row>
    <row r="420" spans="1:27" ht="12.75" customHeight="1">
      <c r="A420" s="4" t="e">
        <f>IF(ISTEXT(E420),_xlfn.XLOOKUP(E420,'[1]SME09-01_LHM'!$D:$D,'[1]SME09-01_LHM'!$B:$B))</f>
        <v>#N/A</v>
      </c>
      <c r="B420" s="4">
        <f>_xlfn.XLOOKUP(F420,'[1]SME09-01_LHM'!$I:$I,'[1]SME09-01_LHM'!$B:$B)</f>
        <v>436</v>
      </c>
      <c r="C420" s="22">
        <f>ROW()-25</f>
        <v>395</v>
      </c>
      <c r="D420" s="16" t="s">
        <v>622</v>
      </c>
      <c r="E420" s="16" t="s">
        <v>640</v>
      </c>
      <c r="F420" s="18" t="s">
        <v>639</v>
      </c>
      <c r="G420" s="18" t="s">
        <v>638</v>
      </c>
      <c r="H420" s="16" t="s">
        <v>8</v>
      </c>
      <c r="I420" s="16" t="s">
        <v>19</v>
      </c>
      <c r="J420" s="188" t="s">
        <v>18</v>
      </c>
      <c r="K420" s="181" t="s">
        <v>18</v>
      </c>
      <c r="L420" s="181" t="s">
        <v>18</v>
      </c>
      <c r="M420" s="186"/>
      <c r="N420" s="23" t="s">
        <v>24</v>
      </c>
      <c r="P420" s="105" t="s">
        <v>126</v>
      </c>
      <c r="Q420" s="105" t="s">
        <v>637</v>
      </c>
      <c r="R420" s="105" t="s">
        <v>10</v>
      </c>
      <c r="S420" s="104" t="s">
        <v>302</v>
      </c>
      <c r="T420" s="106" t="s">
        <v>158</v>
      </c>
      <c r="U420" s="106" t="s">
        <v>24</v>
      </c>
      <c r="V420" s="105" t="s">
        <v>24</v>
      </c>
      <c r="W420" s="3" t="s">
        <v>10</v>
      </c>
      <c r="X420" s="3" t="s">
        <v>10</v>
      </c>
      <c r="Y420" s="182"/>
      <c r="Z420" s="104" t="str">
        <f>_xlfn.LET(_xlpm.v,IF(ISTEXT(Y420),_xlfn.XLOOKUP(Y420,'JP-PINT'!A:A,'JP-PINT'!B:B),""),IF(ISERROR(_xlpm.v),"",_xlpm.v))</f>
        <v/>
      </c>
      <c r="AA420" s="23" t="s">
        <v>24</v>
      </c>
    </row>
    <row r="421" spans="1:27" s="304" customFormat="1" ht="12.75" customHeight="1">
      <c r="C421" s="108">
        <f>ROW()-25</f>
        <v>396</v>
      </c>
      <c r="D421" s="113" t="s">
        <v>622</v>
      </c>
      <c r="E421" s="113" t="s">
        <v>636</v>
      </c>
      <c r="F421" s="114" t="s">
        <v>635</v>
      </c>
      <c r="G421" s="114" t="s">
        <v>497</v>
      </c>
      <c r="H421" s="113" t="s">
        <v>8</v>
      </c>
      <c r="I421" s="113" t="s">
        <v>19</v>
      </c>
      <c r="J421" s="327" t="s">
        <v>18</v>
      </c>
      <c r="K421" s="328" t="s">
        <v>18</v>
      </c>
      <c r="L421" s="328" t="s">
        <v>18</v>
      </c>
      <c r="M421" s="330"/>
      <c r="N421" s="121" t="s">
        <v>24</v>
      </c>
      <c r="O421" s="111"/>
      <c r="P421" s="161" t="s">
        <v>126</v>
      </c>
      <c r="Q421" s="161" t="s">
        <v>496</v>
      </c>
      <c r="R421" s="161" t="s">
        <v>10</v>
      </c>
      <c r="S421" s="132" t="s">
        <v>64</v>
      </c>
      <c r="T421" s="162" t="s">
        <v>63</v>
      </c>
      <c r="U421" s="162" t="s">
        <v>24</v>
      </c>
      <c r="V421" s="161" t="s">
        <v>24</v>
      </c>
      <c r="W421" s="112" t="s">
        <v>10</v>
      </c>
      <c r="X421" s="112" t="s">
        <v>10</v>
      </c>
      <c r="Y421" s="388"/>
      <c r="Z421" s="132" t="str">
        <f>_xlfn.LET(_xlpm.v,IF(ISTEXT(Y421),_xlfn.XLOOKUP(Y421,'JP-PINT'!A:A,'JP-PINT'!B:B),""),IF(ISERROR(_xlpm.v),"",_xlpm.v))</f>
        <v/>
      </c>
      <c r="AA421" s="121" t="s">
        <v>24</v>
      </c>
    </row>
    <row r="422" spans="1:27" s="45" customFormat="1" ht="12.75" customHeight="1">
      <c r="A422" s="4" t="e">
        <f>IF(ISTEXT(E422),_xlfn.XLOOKUP(E422,'[1]SME09-01_LHM'!$D:$D,'[1]SME09-01_LHM'!$B:$B))</f>
        <v>#N/A</v>
      </c>
      <c r="B422" s="4">
        <f>_xlfn.XLOOKUP(F422,'[1]SME09-01_LHM'!$I:$I,'[1]SME09-01_LHM'!$B:$B)</f>
        <v>438</v>
      </c>
      <c r="C422" s="22">
        <f>ROW()-25</f>
        <v>397</v>
      </c>
      <c r="D422" s="16" t="s">
        <v>622</v>
      </c>
      <c r="E422" s="16" t="s">
        <v>634</v>
      </c>
      <c r="F422" s="18" t="s">
        <v>633</v>
      </c>
      <c r="G422" s="18" t="s">
        <v>632</v>
      </c>
      <c r="H422" s="16" t="s">
        <v>8</v>
      </c>
      <c r="I422" s="16" t="s">
        <v>19</v>
      </c>
      <c r="J422" s="188" t="s">
        <v>18</v>
      </c>
      <c r="K422" s="188" t="s">
        <v>18</v>
      </c>
      <c r="L422" s="188" t="s">
        <v>18</v>
      </c>
      <c r="M422" s="186"/>
      <c r="N422" s="23" t="s">
        <v>24</v>
      </c>
      <c r="O422" s="7"/>
      <c r="P422" s="105" t="s">
        <v>126</v>
      </c>
      <c r="Q422" s="102" t="s">
        <v>298</v>
      </c>
      <c r="R422" s="105" t="s">
        <v>10</v>
      </c>
      <c r="S422" s="104" t="s">
        <v>64</v>
      </c>
      <c r="T422" s="106" t="s">
        <v>63</v>
      </c>
      <c r="U422" s="106" t="s">
        <v>24</v>
      </c>
      <c r="V422" s="105" t="s">
        <v>24</v>
      </c>
      <c r="W422" s="3" t="s">
        <v>10</v>
      </c>
      <c r="X422" s="3" t="s">
        <v>10</v>
      </c>
      <c r="Y422" s="182"/>
      <c r="Z422" s="104" t="str">
        <f>_xlfn.LET(_xlpm.v,IF(ISTEXT(Y422),_xlfn.XLOOKUP(Y422,'JP-PINT'!A:A,'JP-PINT'!B:B),""),IF(ISERROR(_xlpm.v),"",_xlpm.v))</f>
        <v/>
      </c>
      <c r="AA422" s="23" t="s">
        <v>24</v>
      </c>
    </row>
    <row r="423" spans="1:27" ht="12.75" customHeight="1">
      <c r="A423" s="4">
        <f>IF(ISTEXT(E423),_xlfn.XLOOKUP(E423,'[1]SME09-01_LHM'!$D:$D,'[1]SME09-01_LHM'!$B:$B))</f>
        <v>544</v>
      </c>
      <c r="B423" s="4">
        <f>_xlfn.XLOOKUP(F423,'[1]SME09-01_LHM'!$I:$I,'[1]SME09-01_LHM'!$B:$B)</f>
        <v>544</v>
      </c>
      <c r="C423" s="22">
        <f>ROW()-25</f>
        <v>398</v>
      </c>
      <c r="D423" s="26" t="s">
        <v>622</v>
      </c>
      <c r="E423" s="26" t="s">
        <v>631</v>
      </c>
      <c r="F423" s="93" t="s">
        <v>2769</v>
      </c>
      <c r="G423" s="25" t="s">
        <v>630</v>
      </c>
      <c r="H423" s="26" t="s">
        <v>8</v>
      </c>
      <c r="I423" s="26" t="s">
        <v>19</v>
      </c>
      <c r="J423" s="201" t="s">
        <v>135</v>
      </c>
      <c r="K423" s="199" t="s">
        <v>135</v>
      </c>
      <c r="L423" s="199" t="s">
        <v>135</v>
      </c>
      <c r="M423" s="189"/>
      <c r="N423" s="23" t="s">
        <v>24</v>
      </c>
      <c r="P423" s="105" t="s">
        <v>126</v>
      </c>
      <c r="Q423" s="102" t="s">
        <v>629</v>
      </c>
      <c r="R423" s="105" t="s">
        <v>25</v>
      </c>
      <c r="S423" s="104"/>
      <c r="T423" s="106" t="s">
        <v>24</v>
      </c>
      <c r="U423" s="106" t="s">
        <v>24</v>
      </c>
      <c r="V423" s="105" t="s">
        <v>24</v>
      </c>
      <c r="W423" s="3" t="s">
        <v>25</v>
      </c>
      <c r="X423" s="3" t="s">
        <v>25</v>
      </c>
      <c r="Y423" s="182" t="str">
        <f>_xlfn.LET(_xlpm.v,_xlfn.XLOOKUP(E423,'[1]SME09-01_LHM'!$D:$D,'[1]SME09-01_LHM'!$AL:$AL),IF(_xlpm.v=0,"",_xlpm.v))</f>
        <v/>
      </c>
      <c r="Z423" s="104" t="str">
        <f>_xlfn.LET(_xlpm.v,IF(ISTEXT(Y423),_xlfn.XLOOKUP(Y423,'JP-PINT'!A:A,'JP-PINT'!B:B),""),IF(ISERROR(_xlpm.v),"",_xlpm.v))</f>
        <v/>
      </c>
      <c r="AA423" s="23" t="s">
        <v>24</v>
      </c>
    </row>
    <row r="424" spans="1:27" ht="12.75" customHeight="1">
      <c r="A424" s="4">
        <f>IF(ISTEXT(E424),_xlfn.XLOOKUP(E424,'[1]SME09-01_LHM'!$D:$D,'[1]SME09-01_LHM'!$B:$B))</f>
        <v>546</v>
      </c>
      <c r="B424" s="4">
        <f>_xlfn.XLOOKUP(F424,'[1]SME09-01_LHM'!$I:$I,'[1]SME09-01_LHM'!$B:$B)</f>
        <v>546</v>
      </c>
      <c r="C424" s="37">
        <f>ROW()-25</f>
        <v>399</v>
      </c>
      <c r="D424" s="35" t="s">
        <v>622</v>
      </c>
      <c r="E424" s="35" t="s">
        <v>628</v>
      </c>
      <c r="F424" s="37" t="s">
        <v>627</v>
      </c>
      <c r="G424" s="37" t="s">
        <v>626</v>
      </c>
      <c r="H424" s="35" t="s">
        <v>128</v>
      </c>
      <c r="I424" s="39" t="s">
        <v>127</v>
      </c>
      <c r="J424" s="38" t="s">
        <v>115</v>
      </c>
      <c r="K424" s="38" t="s">
        <v>115</v>
      </c>
      <c r="L424" s="38" t="s">
        <v>115</v>
      </c>
      <c r="M424" s="19" t="s">
        <v>618</v>
      </c>
      <c r="N424" s="35"/>
      <c r="P424" s="105" t="s">
        <v>126</v>
      </c>
      <c r="Q424" s="102" t="s">
        <v>125</v>
      </c>
      <c r="R424" s="105" t="s">
        <v>10</v>
      </c>
      <c r="S424" s="130"/>
      <c r="T424" s="149" t="s">
        <v>124</v>
      </c>
      <c r="U424" s="149" t="s">
        <v>123</v>
      </c>
      <c r="V424" s="148"/>
      <c r="W424" s="3" t="s">
        <v>10</v>
      </c>
      <c r="X424" s="3" t="s">
        <v>10</v>
      </c>
      <c r="Y424" s="182" t="str">
        <f>_xlfn.LET(_xlpm.v,_xlfn.XLOOKUP(E424,'[1]SME09-01_LHM'!$D:$D,'[1]SME09-01_LHM'!$AL:$AL),IF(_xlpm.v=0,"",_xlpm.v))</f>
        <v>IBT-019</v>
      </c>
      <c r="Z424" s="104" t="str">
        <f>_xlfn.LET(_xlpm.v,IF(ISTEXT(Y424),_xlfn.XLOOKUP(Y424,'JP-PINT'!A:A,'JP-PINT'!B:B),""),IF(ISERROR(_xlpm.v),"",_xlpm.v))</f>
        <v>Buyer accounting reference</v>
      </c>
      <c r="AA424" s="35"/>
    </row>
    <row r="425" spans="1:27" s="45" customFormat="1" ht="12.75" customHeight="1">
      <c r="A425" s="4">
        <f>IF(ISTEXT(E425),_xlfn.XLOOKUP(E425,'[1]SME09-01_LHM'!$D:$D,'[1]SME09-01_LHM'!$B:$B))</f>
        <v>547</v>
      </c>
      <c r="B425" s="4">
        <f>_xlfn.XLOOKUP(F425,'[1]SME09-01_LHM'!$I:$I,'[1]SME09-01_LHM'!$B:$B)</f>
        <v>547</v>
      </c>
      <c r="C425" s="22">
        <f>ROW()-25</f>
        <v>400</v>
      </c>
      <c r="D425" s="16" t="s">
        <v>622</v>
      </c>
      <c r="E425" s="35" t="s">
        <v>625</v>
      </c>
      <c r="F425" s="18" t="s">
        <v>624</v>
      </c>
      <c r="G425" s="18" t="s">
        <v>623</v>
      </c>
      <c r="H425" s="16" t="s">
        <v>28</v>
      </c>
      <c r="I425" s="16" t="s">
        <v>19</v>
      </c>
      <c r="J425" s="35" t="s">
        <v>115</v>
      </c>
      <c r="K425" s="35" t="s">
        <v>115</v>
      </c>
      <c r="L425" s="35" t="s">
        <v>115</v>
      </c>
      <c r="M425" s="19" t="s">
        <v>618</v>
      </c>
      <c r="N425" s="23" t="s">
        <v>24</v>
      </c>
      <c r="O425" s="7"/>
      <c r="P425" s="105" t="s">
        <v>126</v>
      </c>
      <c r="Q425" s="102" t="s">
        <v>119</v>
      </c>
      <c r="R425" s="105" t="s">
        <v>10</v>
      </c>
      <c r="S425" s="104"/>
      <c r="T425" s="106"/>
      <c r="U425" s="106" t="s">
        <v>24</v>
      </c>
      <c r="V425" s="105" t="s">
        <v>24</v>
      </c>
      <c r="W425" s="3" t="s">
        <v>10</v>
      </c>
      <c r="X425" s="3" t="s">
        <v>10</v>
      </c>
      <c r="Y425" s="182" t="str">
        <f>_xlfn.LET(_xlpm.v,_xlfn.XLOOKUP(E425,'[1]SME09-01_LHM'!$D:$D,'[1]SME09-01_LHM'!$AL:$AL),IF(_xlpm.v=0,"",_xlpm.v))</f>
        <v/>
      </c>
      <c r="Z425" s="104" t="str">
        <f>_xlfn.LET(_xlpm.v,IF(ISTEXT(Y425),_xlfn.XLOOKUP(Y425,'JP-PINT'!A:A,'JP-PINT'!B:B),""),IF(ISERROR(_xlpm.v),"",_xlpm.v))</f>
        <v/>
      </c>
      <c r="AA425" s="23" t="s">
        <v>24</v>
      </c>
    </row>
    <row r="426" spans="1:27" ht="12.75" customHeight="1">
      <c r="A426" s="4">
        <f>IF(ISTEXT(E426),_xlfn.XLOOKUP(E426,'[1]SME09-01_LHM'!$D:$D,'[1]SME09-01_LHM'!$B:$B))</f>
        <v>548</v>
      </c>
      <c r="B426" s="4">
        <f>_xlfn.XLOOKUP(F426,'[1]SME09-01_LHM'!$I:$I,'[1]SME09-01_LHM'!$B:$B)</f>
        <v>548</v>
      </c>
      <c r="C426" s="22">
        <f>ROW()-25</f>
        <v>401</v>
      </c>
      <c r="D426" s="16" t="s">
        <v>622</v>
      </c>
      <c r="E426" s="35" t="s">
        <v>621</v>
      </c>
      <c r="F426" s="18" t="s">
        <v>620</v>
      </c>
      <c r="G426" s="18" t="s">
        <v>619</v>
      </c>
      <c r="H426" s="16" t="s">
        <v>8</v>
      </c>
      <c r="I426" s="16" t="s">
        <v>19</v>
      </c>
      <c r="J426" s="35" t="s">
        <v>115</v>
      </c>
      <c r="K426" s="35" t="s">
        <v>115</v>
      </c>
      <c r="L426" s="35" t="s">
        <v>115</v>
      </c>
      <c r="M426" s="19" t="s">
        <v>618</v>
      </c>
      <c r="N426" s="181" t="s">
        <v>46</v>
      </c>
      <c r="P426" s="105" t="s">
        <v>126</v>
      </c>
      <c r="Q426" s="102" t="s">
        <v>114</v>
      </c>
      <c r="R426" s="105" t="s">
        <v>10</v>
      </c>
      <c r="S426" s="104"/>
      <c r="T426" s="106" t="s">
        <v>24</v>
      </c>
      <c r="U426" s="106" t="s">
        <v>24</v>
      </c>
      <c r="V426" s="105" t="s">
        <v>24</v>
      </c>
      <c r="W426" s="3" t="s">
        <v>10</v>
      </c>
      <c r="X426" s="3" t="s">
        <v>10</v>
      </c>
      <c r="Y426" s="182" t="str">
        <f>_xlfn.LET(_xlpm.v,_xlfn.XLOOKUP(E426,'[1]SME09-01_LHM'!$D:$D,'[1]SME09-01_LHM'!$AL:$AL),IF(_xlpm.v=0,"",_xlpm.v))</f>
        <v>IBT-019</v>
      </c>
      <c r="Z426" s="104" t="str">
        <f>_xlfn.LET(_xlpm.v,IF(ISTEXT(Y426),_xlfn.XLOOKUP(Y426,'JP-PINT'!A:A,'JP-PINT'!B:B),""),IF(ISERROR(_xlpm.v),"",_xlpm.v))</f>
        <v>Buyer accounting reference</v>
      </c>
      <c r="AA426" s="23">
        <v>0</v>
      </c>
    </row>
    <row r="427" spans="1:27" ht="12.75" customHeight="1">
      <c r="A427" s="4">
        <f>IF(ISTEXT(E427),_xlfn.XLOOKUP(E427,'[1]SME09-01_LHM'!$D:$D,'[1]SME09-01_LHM'!$B:$B))</f>
        <v>549</v>
      </c>
      <c r="B427" s="4">
        <f>_xlfn.XLOOKUP(F427,'[1]SME09-01_LHM'!$I:$I,'[1]SME09-01_LHM'!$B:$B)</f>
        <v>549</v>
      </c>
      <c r="C427" s="22">
        <f>ROW()-25</f>
        <v>402</v>
      </c>
      <c r="D427" s="26" t="s">
        <v>616</v>
      </c>
      <c r="E427" s="332" t="s">
        <v>615</v>
      </c>
      <c r="F427" s="94" t="s">
        <v>2770</v>
      </c>
      <c r="G427" s="25" t="s">
        <v>614</v>
      </c>
      <c r="H427" s="26" t="s">
        <v>371</v>
      </c>
      <c r="I427" s="26" t="s">
        <v>74</v>
      </c>
      <c r="J427" s="199" t="s">
        <v>79</v>
      </c>
      <c r="K427" s="199" t="s">
        <v>79</v>
      </c>
      <c r="L427" s="199" t="s">
        <v>79</v>
      </c>
      <c r="M427" s="190"/>
      <c r="N427" s="181" t="s">
        <v>183</v>
      </c>
      <c r="O427" s="202"/>
      <c r="P427" s="105" t="s">
        <v>16</v>
      </c>
      <c r="Q427" s="105" t="s">
        <v>613</v>
      </c>
      <c r="R427" s="105" t="s">
        <v>25</v>
      </c>
      <c r="S427" s="104"/>
      <c r="T427" s="106" t="s">
        <v>103</v>
      </c>
      <c r="U427" s="106" t="s">
        <v>24</v>
      </c>
      <c r="V427" s="105" t="s">
        <v>24</v>
      </c>
      <c r="W427" s="203" t="s">
        <v>25</v>
      </c>
      <c r="X427" s="203" t="s">
        <v>25</v>
      </c>
      <c r="Y427" s="182" t="str">
        <f>_xlfn.LET(_xlpm.v,_xlfn.XLOOKUP(E427,'[1]SME09-01_LHM'!$D:$D,'[1]SME09-01_LHM'!$AL:$AL),IF(_xlpm.v=0,"",_xlpm.v))</f>
        <v>IBG-25</v>
      </c>
      <c r="Z427" s="104" t="str">
        <f>_xlfn.LET(_xlpm.v,IF(ISTEXT(Y427),_xlfn.XLOOKUP(Y427,'JP-PINT'!A:A,'JP-PINT'!B:B),""),IF(ISERROR(_xlpm.v),"",_xlpm.v))</f>
        <v>INVOICE LINE</v>
      </c>
      <c r="AA427" s="240" t="s">
        <v>371</v>
      </c>
    </row>
    <row r="428" spans="1:27" s="241" customFormat="1" ht="12.75" customHeight="1">
      <c r="A428" s="4">
        <f>IF(ISTEXT(E428),_xlfn.XLOOKUP(E428,'[1]SME09-01_LHM'!$D:$D,'[1]SME09-01_LHM'!$B:$B))</f>
        <v>551</v>
      </c>
      <c r="B428" s="4">
        <f>_xlfn.XLOOKUP(F428,'[1]SME09-01_LHM'!$I:$I,'[1]SME09-01_LHM'!$B:$B)</f>
        <v>551</v>
      </c>
      <c r="C428" s="22">
        <f>ROW()-25</f>
        <v>403</v>
      </c>
      <c r="D428" s="16" t="s">
        <v>23</v>
      </c>
      <c r="E428" s="16" t="s">
        <v>611</v>
      </c>
      <c r="F428" s="18" t="s">
        <v>610</v>
      </c>
      <c r="G428" s="18" t="s">
        <v>609</v>
      </c>
      <c r="H428" s="16" t="s">
        <v>31</v>
      </c>
      <c r="I428" s="16" t="s">
        <v>74</v>
      </c>
      <c r="J428" s="188" t="s">
        <v>574</v>
      </c>
      <c r="K428" s="181" t="s">
        <v>574</v>
      </c>
      <c r="L428" s="181" t="s">
        <v>574</v>
      </c>
      <c r="M428" s="195" t="s">
        <v>73</v>
      </c>
      <c r="N428" s="181" t="s">
        <v>183</v>
      </c>
      <c r="O428" s="202" t="s">
        <v>79</v>
      </c>
      <c r="P428" s="105" t="s">
        <v>16</v>
      </c>
      <c r="Q428" s="105" t="s">
        <v>608</v>
      </c>
      <c r="R428" s="105" t="s">
        <v>10</v>
      </c>
      <c r="S428" s="104"/>
      <c r="T428" s="103" t="s">
        <v>103</v>
      </c>
      <c r="U428" s="103" t="s">
        <v>24</v>
      </c>
      <c r="V428" s="105" t="s">
        <v>24</v>
      </c>
      <c r="W428" s="203" t="s">
        <v>10</v>
      </c>
      <c r="X428" s="203" t="s">
        <v>10</v>
      </c>
      <c r="Y428" s="182" t="str">
        <f>_xlfn.LET(_xlpm.v,_xlfn.XLOOKUP(E428,'[1]SME09-01_LHM'!$D:$D,'[1]SME09-01_LHM'!$AL:$AL),IF(_xlpm.v=0,"",_xlpm.v))</f>
        <v>IBT-126</v>
      </c>
      <c r="Z428" s="104" t="str">
        <f>_xlfn.LET(_xlpm.v,IF(ISTEXT(Y428),_xlfn.XLOOKUP(Y428,'JP-PINT'!A:A,'JP-PINT'!B:B),""),IF(ISERROR(_xlpm.v),"",_xlpm.v))</f>
        <v>&gt; Invoice line identifier</v>
      </c>
      <c r="AA428" s="240" t="s">
        <v>31</v>
      </c>
    </row>
    <row r="429" spans="1:27" s="241" customFormat="1" ht="12.75" customHeight="1">
      <c r="A429" s="4">
        <f>IF(ISTEXT(E429),_xlfn.XLOOKUP(E429,'[1]SME09-01_LHM'!$D:$D,'[1]SME09-01_LHM'!$B:$B))</f>
        <v>552</v>
      </c>
      <c r="B429" s="4">
        <f>_xlfn.XLOOKUP(F429,'[1]SME09-01_LHM'!$I:$I,'[1]SME09-01_LHM'!$B:$B)</f>
        <v>552</v>
      </c>
      <c r="C429" s="22">
        <f>ROW()-25</f>
        <v>404</v>
      </c>
      <c r="D429" s="16" t="s">
        <v>23</v>
      </c>
      <c r="E429" s="16" t="s">
        <v>606</v>
      </c>
      <c r="F429" s="18" t="s">
        <v>605</v>
      </c>
      <c r="G429" s="18" t="s">
        <v>604</v>
      </c>
      <c r="H429" s="16" t="s">
        <v>8</v>
      </c>
      <c r="I429" s="16" t="s">
        <v>143</v>
      </c>
      <c r="J429" s="188" t="s">
        <v>66</v>
      </c>
      <c r="K429" s="181" t="s">
        <v>135</v>
      </c>
      <c r="L429" s="181" t="s">
        <v>135</v>
      </c>
      <c r="M429" s="186"/>
      <c r="N429" s="23" t="s">
        <v>24</v>
      </c>
      <c r="O429" s="202"/>
      <c r="P429" s="105" t="s">
        <v>16</v>
      </c>
      <c r="Q429" s="105" t="s">
        <v>603</v>
      </c>
      <c r="R429" s="105" t="s">
        <v>10</v>
      </c>
      <c r="S429" s="104" t="s">
        <v>64</v>
      </c>
      <c r="T429" s="103" t="s">
        <v>63</v>
      </c>
      <c r="U429" s="70" t="s">
        <v>312</v>
      </c>
      <c r="V429" s="105" t="s">
        <v>602</v>
      </c>
      <c r="W429" s="203" t="s">
        <v>10</v>
      </c>
      <c r="X429" s="203" t="s">
        <v>10</v>
      </c>
      <c r="Y429" s="182" t="str">
        <f>_xlfn.LET(_xlpm.v,_xlfn.XLOOKUP(E429,'[1]SME09-01_LHM'!$D:$D,'[1]SME09-01_LHM'!$AL:$AL),IF(_xlpm.v=0,"",_xlpm.v))</f>
        <v/>
      </c>
      <c r="Z429" s="104" t="str">
        <f>_xlfn.LET(_xlpm.v,IF(ISTEXT(Y429),_xlfn.XLOOKUP(Y429,'JP-PINT'!A:A,'JP-PINT'!B:B),""),IF(ISERROR(_xlpm.v),"",_xlpm.v))</f>
        <v/>
      </c>
      <c r="AA429" s="23" t="s">
        <v>24</v>
      </c>
    </row>
    <row r="430" spans="1:27" s="241" customFormat="1" ht="12.75" customHeight="1">
      <c r="A430" s="4">
        <f>IF(ISTEXT(E430),_xlfn.XLOOKUP(E430,'[1]SME09-01_LHM'!$D:$D,'[1]SME09-01_LHM'!$B:$B))</f>
        <v>553</v>
      </c>
      <c r="B430" s="4">
        <f>_xlfn.XLOOKUP(F430,'[1]SME09-01_LHM'!$I:$I,'[1]SME09-01_LHM'!$B:$B)</f>
        <v>553</v>
      </c>
      <c r="C430" s="22">
        <f>ROW()-25</f>
        <v>405</v>
      </c>
      <c r="D430" s="16" t="s">
        <v>23</v>
      </c>
      <c r="E430" s="16" t="s">
        <v>601</v>
      </c>
      <c r="F430" s="18" t="s">
        <v>600</v>
      </c>
      <c r="G430" s="18" t="s">
        <v>599</v>
      </c>
      <c r="H430" s="16" t="s">
        <v>128</v>
      </c>
      <c r="I430" s="59" t="s">
        <v>227</v>
      </c>
      <c r="J430" s="21" t="s">
        <v>598</v>
      </c>
      <c r="K430" s="16" t="s">
        <v>598</v>
      </c>
      <c r="L430" s="16" t="s">
        <v>598</v>
      </c>
      <c r="M430" s="19"/>
      <c r="N430" s="16"/>
      <c r="O430" s="333"/>
      <c r="P430" s="105" t="s">
        <v>16</v>
      </c>
      <c r="Q430" s="105" t="s">
        <v>597</v>
      </c>
      <c r="R430" s="105" t="s">
        <v>10</v>
      </c>
      <c r="S430" s="198" t="s">
        <v>596</v>
      </c>
      <c r="T430" s="70" t="s">
        <v>158</v>
      </c>
      <c r="U430" s="71" t="s">
        <v>312</v>
      </c>
      <c r="V430" s="105" t="s">
        <v>595</v>
      </c>
      <c r="W430" s="203" t="s">
        <v>10</v>
      </c>
      <c r="X430" s="203" t="s">
        <v>10</v>
      </c>
      <c r="Y430" s="182" t="str">
        <f>_xlfn.LET(_xlpm.v,_xlfn.XLOOKUP(E430,'[1]SME09-01_LHM'!$D:$D,'[1]SME09-01_LHM'!$AL:$AL),IF(_xlpm.v=0,"",_xlpm.v))</f>
        <v/>
      </c>
      <c r="Z430" s="104" t="str">
        <f>_xlfn.LET(_xlpm.v,IF(ISTEXT(Y430),_xlfn.XLOOKUP(Y430,'JP-PINT'!A:A,'JP-PINT'!B:B),""),IF(ISERROR(_xlpm.v),"",_xlpm.v))</f>
        <v/>
      </c>
      <c r="AA430" s="23"/>
    </row>
    <row r="431" spans="1:27" s="241" customFormat="1" ht="12.75" customHeight="1">
      <c r="A431" s="4">
        <f>IF(ISTEXT(E431),_xlfn.XLOOKUP(E431,'[1]SME09-01_LHM'!$D:$D,'[1]SME09-01_LHM'!$B:$B))</f>
        <v>554</v>
      </c>
      <c r="B431" s="4">
        <f>_xlfn.XLOOKUP(F431,'[1]SME09-01_LHM'!$I:$I,'[1]SME09-01_LHM'!$B:$B)</f>
        <v>554</v>
      </c>
      <c r="C431" s="37">
        <f>ROW()-25</f>
        <v>406</v>
      </c>
      <c r="D431" s="35" t="s">
        <v>23</v>
      </c>
      <c r="E431" s="35" t="s">
        <v>594</v>
      </c>
      <c r="F431" s="93" t="s">
        <v>2771</v>
      </c>
      <c r="G431" s="37" t="s">
        <v>593</v>
      </c>
      <c r="H431" s="35" t="s">
        <v>8</v>
      </c>
      <c r="I431" s="39" t="s">
        <v>227</v>
      </c>
      <c r="J431" s="35" t="s">
        <v>18</v>
      </c>
      <c r="K431" s="35" t="s">
        <v>18</v>
      </c>
      <c r="L431" s="35" t="s">
        <v>18</v>
      </c>
      <c r="M431" s="23"/>
      <c r="N431" s="37"/>
      <c r="O431" s="7"/>
      <c r="P431" s="148" t="s">
        <v>126</v>
      </c>
      <c r="Q431" s="148" t="s">
        <v>397</v>
      </c>
      <c r="R431" s="148" t="s">
        <v>10</v>
      </c>
      <c r="S431" s="275" t="s">
        <v>64</v>
      </c>
      <c r="T431" s="277" t="s">
        <v>63</v>
      </c>
      <c r="U431" s="153" t="s">
        <v>367</v>
      </c>
      <c r="V431" s="148"/>
      <c r="W431" s="7" t="s">
        <v>10</v>
      </c>
      <c r="X431" s="7" t="s">
        <v>10</v>
      </c>
      <c r="Y431" s="182" t="str">
        <f>_xlfn.LET(_xlpm.v,_xlfn.XLOOKUP(E431,'[1]SME09-01_LHM'!$D:$D,'[1]SME09-01_LHM'!$AL:$AL),IF(_xlpm.v=0,"",_xlpm.v))</f>
        <v/>
      </c>
      <c r="Z431" s="104" t="str">
        <f>_xlfn.LET(_xlpm.v,IF(ISTEXT(Y431),_xlfn.XLOOKUP(Y431,'JP-PINT'!A:A,'JP-PINT'!B:B),""),IF(ISERROR(_xlpm.v),"",_xlpm.v))</f>
        <v/>
      </c>
      <c r="AA431" s="37"/>
    </row>
    <row r="432" spans="1:27" s="45" customFormat="1" ht="12.75" customHeight="1">
      <c r="A432" s="4">
        <f>IF(ISTEXT(E432),_xlfn.XLOOKUP(E432,'[1]SME09-01_LHM'!$D:$D,'[1]SME09-01_LHM'!$B:$B))</f>
        <v>555</v>
      </c>
      <c r="B432" s="4">
        <f>_xlfn.XLOOKUP(F432,'[1]SME09-01_LHM'!$I:$I,'[1]SME09-01_LHM'!$B:$B)</f>
        <v>555</v>
      </c>
      <c r="C432" s="37">
        <f>ROW()-25</f>
        <v>407</v>
      </c>
      <c r="D432" s="35" t="s">
        <v>23</v>
      </c>
      <c r="E432" s="35" t="s">
        <v>592</v>
      </c>
      <c r="F432" s="93" t="s">
        <v>2772</v>
      </c>
      <c r="G432" s="37" t="s">
        <v>591</v>
      </c>
      <c r="H432" s="35" t="s">
        <v>8</v>
      </c>
      <c r="I432" s="39" t="s">
        <v>227</v>
      </c>
      <c r="J432" s="38" t="s">
        <v>18</v>
      </c>
      <c r="K432" s="38" t="s">
        <v>18</v>
      </c>
      <c r="L432" s="38" t="s">
        <v>18</v>
      </c>
      <c r="M432" s="19"/>
      <c r="N432" s="37"/>
      <c r="O432" s="7"/>
      <c r="P432" s="148" t="s">
        <v>126</v>
      </c>
      <c r="Q432" s="148" t="s">
        <v>397</v>
      </c>
      <c r="R432" s="148" t="s">
        <v>10</v>
      </c>
      <c r="S432" s="275"/>
      <c r="T432" s="276"/>
      <c r="U432" s="149"/>
      <c r="V432" s="148"/>
      <c r="W432" s="7" t="s">
        <v>10</v>
      </c>
      <c r="X432" s="7" t="s">
        <v>10</v>
      </c>
      <c r="Y432" s="182" t="str">
        <f>_xlfn.LET(_xlpm.v,_xlfn.XLOOKUP(E432,'[1]SME09-01_LHM'!$D:$D,'[1]SME09-01_LHM'!$AL:$AL),IF(_xlpm.v=0,"",_xlpm.v))</f>
        <v/>
      </c>
      <c r="Z432" s="104" t="str">
        <f>_xlfn.LET(_xlpm.v,IF(ISTEXT(Y432),_xlfn.XLOOKUP(Y432,'JP-PINT'!A:A,'JP-PINT'!B:B),""),IF(ISERROR(_xlpm.v),"",_xlpm.v))</f>
        <v/>
      </c>
      <c r="AA432" s="37"/>
    </row>
    <row r="433" spans="1:27" ht="12.75" customHeight="1">
      <c r="A433" s="4">
        <f>IF(ISTEXT(E433),_xlfn.XLOOKUP(E433,'[1]SME09-01_LHM'!$D:$D,'[1]SME09-01_LHM'!$B:$B))</f>
        <v>700</v>
      </c>
      <c r="B433" s="4">
        <f>_xlfn.XLOOKUP(F433,'[1]SME09-01_LHM'!$I:$I,'[1]SME09-01_LHM'!$B:$B)</f>
        <v>700</v>
      </c>
      <c r="C433" s="22">
        <f>ROW()-25</f>
        <v>408</v>
      </c>
      <c r="D433" s="26" t="s">
        <v>23</v>
      </c>
      <c r="E433" s="26" t="s">
        <v>112</v>
      </c>
      <c r="F433" s="93" t="s">
        <v>2773</v>
      </c>
      <c r="G433" s="25" t="s">
        <v>111</v>
      </c>
      <c r="H433" s="26" t="s">
        <v>31</v>
      </c>
      <c r="I433" s="26" t="s">
        <v>74</v>
      </c>
      <c r="J433" s="199" t="s">
        <v>79</v>
      </c>
      <c r="K433" s="199" t="s">
        <v>79</v>
      </c>
      <c r="L433" s="199" t="s">
        <v>79</v>
      </c>
      <c r="M433" s="190"/>
      <c r="N433" s="181" t="s">
        <v>110</v>
      </c>
      <c r="P433" s="105" t="s">
        <v>16</v>
      </c>
      <c r="Q433" s="105" t="s">
        <v>109</v>
      </c>
      <c r="R433" s="105" t="s">
        <v>25</v>
      </c>
      <c r="S433" s="104"/>
      <c r="T433" s="106" t="s">
        <v>103</v>
      </c>
      <c r="U433" s="106" t="s">
        <v>24</v>
      </c>
      <c r="V433" s="105" t="s">
        <v>24</v>
      </c>
      <c r="W433" s="3" t="s">
        <v>25</v>
      </c>
      <c r="X433" s="3" t="s">
        <v>25</v>
      </c>
      <c r="Y433" s="182" t="str">
        <f>_xlfn.LET(_xlpm.v,_xlfn.XLOOKUP(E433,'[1]SME09-01_LHM'!$D:$D,'[1]SME09-01_LHM'!$AL:$AL),IF(_xlpm.v=0,"",_xlpm.v))</f>
        <v>IBG-31</v>
      </c>
      <c r="Z433" s="104" t="str">
        <f>_xlfn.LET(_xlpm.v,IF(ISTEXT(Y433),_xlfn.XLOOKUP(Y433,'JP-PINT'!A:A,'JP-PINT'!B:B),""),IF(ISERROR(_xlpm.v),"",_xlpm.v))</f>
        <v>&gt; ITEM INFORMATION</v>
      </c>
      <c r="AA433" s="16" t="s">
        <v>31</v>
      </c>
    </row>
    <row r="434" spans="1:27" s="134" customFormat="1" ht="12.75" customHeight="1">
      <c r="A434" s="4">
        <f>IF(ISTEXT(E434),_xlfn.XLOOKUP(E434,'[1]SME09-01_LHM'!$D:$D,'[1]SME09-01_LHM'!$B:$B))</f>
        <v>702</v>
      </c>
      <c r="B434" s="4">
        <f>_xlfn.XLOOKUP(F434,'[1]SME09-01_LHM'!$I:$I,'[1]SME09-01_LHM'!$B:$B)</f>
        <v>702</v>
      </c>
      <c r="C434" s="102">
        <f>ROW()-25</f>
        <v>409</v>
      </c>
      <c r="D434" s="103" t="s">
        <v>23</v>
      </c>
      <c r="E434" s="103" t="s">
        <v>107</v>
      </c>
      <c r="F434" s="105" t="s">
        <v>106</v>
      </c>
      <c r="G434" s="105" t="s">
        <v>105</v>
      </c>
      <c r="H434" s="103" t="s">
        <v>8</v>
      </c>
      <c r="I434" s="103" t="s">
        <v>74</v>
      </c>
      <c r="J434" s="222" t="s">
        <v>18</v>
      </c>
      <c r="K434" s="223" t="s">
        <v>18</v>
      </c>
      <c r="L434" s="223" t="s">
        <v>18</v>
      </c>
      <c r="M434" s="193" t="s">
        <v>73</v>
      </c>
      <c r="N434" s="138" t="s">
        <v>27</v>
      </c>
      <c r="O434" s="136"/>
      <c r="P434" s="105" t="s">
        <v>16</v>
      </c>
      <c r="Q434" s="105" t="s">
        <v>104</v>
      </c>
      <c r="R434" s="105" t="s">
        <v>10</v>
      </c>
      <c r="S434" s="104"/>
      <c r="T434" s="103" t="s">
        <v>103</v>
      </c>
      <c r="U434" s="103" t="s">
        <v>24</v>
      </c>
      <c r="V434" s="105" t="s">
        <v>24</v>
      </c>
      <c r="W434" s="107" t="s">
        <v>10</v>
      </c>
      <c r="X434" s="107" t="s">
        <v>10</v>
      </c>
      <c r="Y434" s="192" t="str">
        <f>_xlfn.LET(_xlpm.v,_xlfn.XLOOKUP(E434,'[1]SME09-01_LHM'!$D:$D,'[1]SME09-01_LHM'!$AL:$AL),IF(_xlpm.v=0,"",_xlpm.v))</f>
        <v/>
      </c>
      <c r="Z434" s="104" t="str">
        <f>_xlfn.LET(_xlpm.v,IF(ISTEXT(Y434),_xlfn.XLOOKUP(Y434,'JP-PINT'!A:A,'JP-PINT'!B:B),""),IF(ISERROR(_xlpm.v),"",_xlpm.v))</f>
        <v/>
      </c>
      <c r="AA434" s="138" t="s">
        <v>24</v>
      </c>
    </row>
    <row r="435" spans="1:27" s="6" customFormat="1" ht="12.75" customHeight="1">
      <c r="A435" s="4">
        <f>IF(ISTEXT(E435),_xlfn.XLOOKUP(E435,'[1]SME09-01_LHM'!$D:$D,'[1]SME09-01_LHM'!$B:$B))</f>
        <v>703</v>
      </c>
      <c r="B435" s="4">
        <f>_xlfn.XLOOKUP(F435,'[1]SME09-01_LHM'!$I:$I,'[1]SME09-01_LHM'!$B:$B)</f>
        <v>703</v>
      </c>
      <c r="C435" s="22">
        <f>ROW()-25</f>
        <v>410</v>
      </c>
      <c r="D435" s="16" t="s">
        <v>23</v>
      </c>
      <c r="E435" s="16" t="s">
        <v>102</v>
      </c>
      <c r="F435" s="18" t="s">
        <v>101</v>
      </c>
      <c r="G435" s="18" t="s">
        <v>100</v>
      </c>
      <c r="H435" s="16" t="s">
        <v>8</v>
      </c>
      <c r="I435" s="16" t="s">
        <v>19</v>
      </c>
      <c r="J435" s="21" t="s">
        <v>18</v>
      </c>
      <c r="K435" s="16" t="s">
        <v>18</v>
      </c>
      <c r="L435" s="20"/>
      <c r="M435" s="19"/>
      <c r="N435" s="16" t="s">
        <v>17</v>
      </c>
      <c r="O435" s="7"/>
      <c r="P435" s="105" t="s">
        <v>16</v>
      </c>
      <c r="Q435" s="334" t="s">
        <v>99</v>
      </c>
      <c r="R435" s="105" t="s">
        <v>10</v>
      </c>
      <c r="S435" s="128" t="s">
        <v>98</v>
      </c>
      <c r="T435" s="106" t="s">
        <v>13</v>
      </c>
      <c r="U435" s="106" t="s">
        <v>24</v>
      </c>
      <c r="V435" s="105" t="s">
        <v>24</v>
      </c>
      <c r="W435" s="3" t="s">
        <v>10</v>
      </c>
      <c r="X435" s="3"/>
      <c r="Y435" s="182" t="str">
        <f>_xlfn.LET(_xlpm.v,_xlfn.XLOOKUP(E435,'[1]SME09-01_LHM'!$D:$D,'[1]SME09-01_LHM'!$AL:$AL),IF(_xlpm.v=0,"",_xlpm.v))</f>
        <v>IBT-157</v>
      </c>
      <c r="Z435" s="104" t="str">
        <f>_xlfn.LET(_xlpm.v,IF(ISTEXT(Y435),_xlfn.XLOOKUP(Y435,'JP-PINT'!A:A,'JP-PINT'!B:B),""),IF(ISERROR(_xlpm.v),"",_xlpm.v))</f>
        <v>&gt;&gt; Item standard identifier</v>
      </c>
      <c r="AA435" s="16" t="s">
        <v>8</v>
      </c>
    </row>
    <row r="436" spans="1:27" s="6" customFormat="1" ht="12.75" customHeight="1">
      <c r="A436" s="4">
        <f>IF(ISTEXT(E436),_xlfn.XLOOKUP(E436,'[1]SME09-01_LHM'!$D:$D,'[1]SME09-01_LHM'!$B:$B))</f>
        <v>704</v>
      </c>
      <c r="B436" s="4">
        <f>_xlfn.XLOOKUP(F436,'[1]SME09-01_LHM'!$I:$I,'[1]SME09-01_LHM'!$B:$B)</f>
        <v>704</v>
      </c>
      <c r="C436" s="22">
        <f>ROW()-25</f>
        <v>411</v>
      </c>
      <c r="D436" s="16" t="s">
        <v>23</v>
      </c>
      <c r="E436" s="16" t="s">
        <v>97</v>
      </c>
      <c r="F436" s="18" t="s">
        <v>96</v>
      </c>
      <c r="G436" s="18" t="s">
        <v>95</v>
      </c>
      <c r="H436" s="16" t="s">
        <v>8</v>
      </c>
      <c r="I436" s="16" t="s">
        <v>19</v>
      </c>
      <c r="J436" s="16" t="s">
        <v>18</v>
      </c>
      <c r="K436" s="16" t="s">
        <v>18</v>
      </c>
      <c r="L436" s="20"/>
      <c r="M436" s="23"/>
      <c r="N436" s="16" t="s">
        <v>17</v>
      </c>
      <c r="O436" s="7"/>
      <c r="P436" s="105" t="s">
        <v>16</v>
      </c>
      <c r="Q436" s="105" t="s">
        <v>94</v>
      </c>
      <c r="R436" s="105" t="s">
        <v>10</v>
      </c>
      <c r="S436" s="126" t="s">
        <v>24</v>
      </c>
      <c r="T436" s="103" t="s">
        <v>24</v>
      </c>
      <c r="U436" s="103" t="s">
        <v>24</v>
      </c>
      <c r="V436" s="105" t="s">
        <v>24</v>
      </c>
      <c r="W436" s="3" t="s">
        <v>10</v>
      </c>
      <c r="X436" s="3"/>
      <c r="Y436" s="182" t="str">
        <f>_xlfn.LET(_xlpm.v,_xlfn.XLOOKUP(E436,'[1]SME09-01_LHM'!$D:$D,'[1]SME09-01_LHM'!$AL:$AL),IF(_xlpm.v=0,"",_xlpm.v))</f>
        <v>IBT-155</v>
      </c>
      <c r="Z436" s="104" t="str">
        <f>_xlfn.LET(_xlpm.v,IF(ISTEXT(Y436),_xlfn.XLOOKUP(Y436,'JP-PINT'!A:A,'JP-PINT'!B:B),""),IF(ISERROR(_xlpm.v),"",_xlpm.v))</f>
        <v>&gt;&gt; Item Seller's identifier</v>
      </c>
      <c r="AA436" s="16" t="s">
        <v>8</v>
      </c>
    </row>
    <row r="437" spans="1:27" s="6" customFormat="1" ht="12.75" customHeight="1">
      <c r="A437" s="4">
        <f>IF(ISTEXT(E437),_xlfn.XLOOKUP(E437,'[1]SME09-01_LHM'!$D:$D,'[1]SME09-01_LHM'!$B:$B))</f>
        <v>705</v>
      </c>
      <c r="B437" s="4">
        <f>_xlfn.XLOOKUP(F437,'[1]SME09-01_LHM'!$I:$I,'[1]SME09-01_LHM'!$B:$B)</f>
        <v>705</v>
      </c>
      <c r="C437" s="22">
        <f>ROW()-25</f>
        <v>412</v>
      </c>
      <c r="D437" s="16" t="s">
        <v>23</v>
      </c>
      <c r="E437" s="16" t="s">
        <v>92</v>
      </c>
      <c r="F437" s="18" t="s">
        <v>91</v>
      </c>
      <c r="G437" s="18" t="s">
        <v>90</v>
      </c>
      <c r="H437" s="16" t="s">
        <v>8</v>
      </c>
      <c r="I437" s="34" t="s">
        <v>19</v>
      </c>
      <c r="J437" s="16" t="s">
        <v>18</v>
      </c>
      <c r="K437" s="16" t="s">
        <v>18</v>
      </c>
      <c r="L437" s="20"/>
      <c r="M437" s="23"/>
      <c r="N437" s="16" t="s">
        <v>17</v>
      </c>
      <c r="O437" s="7"/>
      <c r="P437" s="105" t="s">
        <v>16</v>
      </c>
      <c r="Q437" s="105" t="s">
        <v>89</v>
      </c>
      <c r="R437" s="105" t="s">
        <v>10</v>
      </c>
      <c r="S437" s="104" t="s">
        <v>24</v>
      </c>
      <c r="T437" s="103" t="s">
        <v>24</v>
      </c>
      <c r="U437" s="103" t="s">
        <v>24</v>
      </c>
      <c r="V437" s="105" t="s">
        <v>24</v>
      </c>
      <c r="W437" s="3" t="s">
        <v>10</v>
      </c>
      <c r="X437" s="3"/>
      <c r="Y437" s="182" t="str">
        <f>_xlfn.LET(_xlpm.v,_xlfn.XLOOKUP(E437,'[1]SME09-01_LHM'!$D:$D,'[1]SME09-01_LHM'!$AL:$AL),IF(_xlpm.v=0,"",_xlpm.v))</f>
        <v>IBT-156</v>
      </c>
      <c r="Z437" s="104" t="str">
        <f>_xlfn.LET(_xlpm.v,IF(ISTEXT(Y437),_xlfn.XLOOKUP(Y437,'JP-PINT'!A:A,'JP-PINT'!B:B),""),IF(ISERROR(_xlpm.v),"",_xlpm.v))</f>
        <v>&gt;&gt; Item Buyer's identifier</v>
      </c>
      <c r="AA437" s="16" t="s">
        <v>8</v>
      </c>
    </row>
    <row r="438" spans="1:27" s="6" customFormat="1" ht="12.75" customHeight="1">
      <c r="A438" s="4">
        <f>IF(ISTEXT(E438),_xlfn.XLOOKUP(E438,'[1]SME09-01_LHM'!$D:$D,'[1]SME09-01_LHM'!$B:$B))</f>
        <v>706</v>
      </c>
      <c r="B438" s="4">
        <f>_xlfn.XLOOKUP(F438,'[1]SME09-01_LHM'!$I:$I,'[1]SME09-01_LHM'!$B:$B)</f>
        <v>706</v>
      </c>
      <c r="C438" s="22">
        <f>ROW()-25</f>
        <v>413</v>
      </c>
      <c r="D438" s="16" t="s">
        <v>23</v>
      </c>
      <c r="E438" s="16" t="s">
        <v>87</v>
      </c>
      <c r="F438" s="18" t="s">
        <v>86</v>
      </c>
      <c r="G438" s="18" t="s">
        <v>85</v>
      </c>
      <c r="H438" s="16" t="s">
        <v>8</v>
      </c>
      <c r="I438" s="16" t="s">
        <v>19</v>
      </c>
      <c r="J438" s="16" t="s">
        <v>18</v>
      </c>
      <c r="K438" s="16" t="s">
        <v>18</v>
      </c>
      <c r="L438" s="20"/>
      <c r="M438" s="23"/>
      <c r="N438" s="23" t="s">
        <v>27</v>
      </c>
      <c r="O438" s="7"/>
      <c r="P438" s="105" t="s">
        <v>16</v>
      </c>
      <c r="Q438" s="334" t="s">
        <v>84</v>
      </c>
      <c r="R438" s="105" t="s">
        <v>10</v>
      </c>
      <c r="S438" s="104" t="s">
        <v>24</v>
      </c>
      <c r="T438" s="103" t="s">
        <v>24</v>
      </c>
      <c r="U438" s="103" t="s">
        <v>24</v>
      </c>
      <c r="V438" s="105" t="s">
        <v>24</v>
      </c>
      <c r="W438" s="3" t="s">
        <v>10</v>
      </c>
      <c r="X438" s="3"/>
      <c r="Y438" s="182" t="str">
        <f>_xlfn.LET(_xlpm.v,_xlfn.XLOOKUP(E438,'[1]SME09-01_LHM'!$D:$D,'[1]SME09-01_LHM'!$AL:$AL),IF(_xlpm.v=0,"",_xlpm.v))</f>
        <v/>
      </c>
      <c r="Z438" s="104" t="str">
        <f>_xlfn.LET(_xlpm.v,IF(ISTEXT(Y438),_xlfn.XLOOKUP(Y438,'JP-PINT'!A:A,'JP-PINT'!B:B),""),IF(ISERROR(_xlpm.v),"",_xlpm.v))</f>
        <v/>
      </c>
      <c r="AA438" s="23" t="s">
        <v>24</v>
      </c>
    </row>
    <row r="439" spans="1:27" s="6" customFormat="1" ht="12.75" customHeight="1">
      <c r="A439" s="4">
        <f>IF(ISTEXT(E439),_xlfn.XLOOKUP(E439,'[1]SME09-01_LHM'!$D:$D,'[1]SME09-01_LHM'!$B:$B))</f>
        <v>707</v>
      </c>
      <c r="B439" s="4">
        <f>_xlfn.XLOOKUP(F439,'[1]SME09-01_LHM'!$I:$I,'[1]SME09-01_LHM'!$B:$B)</f>
        <v>707</v>
      </c>
      <c r="C439" s="22">
        <f>ROW()-25</f>
        <v>414</v>
      </c>
      <c r="D439" s="16" t="s">
        <v>23</v>
      </c>
      <c r="E439" s="16" t="s">
        <v>83</v>
      </c>
      <c r="F439" s="18" t="s">
        <v>82</v>
      </c>
      <c r="G439" s="18" t="s">
        <v>81</v>
      </c>
      <c r="H439" s="16" t="s">
        <v>31</v>
      </c>
      <c r="I439" s="16" t="s">
        <v>74</v>
      </c>
      <c r="J439" s="181" t="s">
        <v>80</v>
      </c>
      <c r="K439" s="181" t="s">
        <v>80</v>
      </c>
      <c r="L439" s="181" t="s">
        <v>80</v>
      </c>
      <c r="M439" s="195" t="s">
        <v>73</v>
      </c>
      <c r="N439" s="181" t="s">
        <v>34</v>
      </c>
      <c r="O439" s="7" t="s">
        <v>79</v>
      </c>
      <c r="P439" s="105" t="s">
        <v>16</v>
      </c>
      <c r="Q439" s="105" t="s">
        <v>78</v>
      </c>
      <c r="R439" s="105" t="s">
        <v>10</v>
      </c>
      <c r="S439" s="104"/>
      <c r="T439" s="103"/>
      <c r="U439" s="103" t="s">
        <v>24</v>
      </c>
      <c r="V439" s="105" t="s">
        <v>24</v>
      </c>
      <c r="W439" s="3" t="s">
        <v>10</v>
      </c>
      <c r="X439" s="3" t="s">
        <v>10</v>
      </c>
      <c r="Y439" s="182" t="str">
        <f>_xlfn.LET(_xlpm.v,_xlfn.XLOOKUP(E439,'[1]SME09-01_LHM'!$D:$D,'[1]SME09-01_LHM'!$AL:$AL),IF(_xlpm.v=0,"",_xlpm.v))</f>
        <v>IBT-153</v>
      </c>
      <c r="Z439" s="104" t="str">
        <f>_xlfn.LET(_xlpm.v,IF(ISTEXT(Y439),_xlfn.XLOOKUP(Y439,'JP-PINT'!A:A,'JP-PINT'!B:B),""),IF(ISERROR(_xlpm.v),"",_xlpm.v))</f>
        <v>&gt;&gt; Item name</v>
      </c>
      <c r="AA439" s="16" t="s">
        <v>31</v>
      </c>
    </row>
    <row r="440" spans="1:27" s="6" customFormat="1" ht="12.75" customHeight="1">
      <c r="A440" s="4">
        <f>IF(ISTEXT(E440),_xlfn.XLOOKUP(E440,'[1]SME09-01_LHM'!$D:$D,'[1]SME09-01_LHM'!$B:$B))</f>
        <v>708</v>
      </c>
      <c r="B440" s="4">
        <f>_xlfn.XLOOKUP(F440,'[1]SME09-01_LHM'!$I:$I,'[1]SME09-01_LHM'!$B:$B)</f>
        <v>708</v>
      </c>
      <c r="C440" s="22">
        <f>ROW()-25</f>
        <v>415</v>
      </c>
      <c r="D440" s="16" t="s">
        <v>23</v>
      </c>
      <c r="E440" s="16" t="s">
        <v>76</v>
      </c>
      <c r="F440" s="18" t="s">
        <v>75</v>
      </c>
      <c r="G440" s="18" t="s">
        <v>40</v>
      </c>
      <c r="H440" s="16" t="s">
        <v>8</v>
      </c>
      <c r="I440" s="16" t="s">
        <v>74</v>
      </c>
      <c r="J440" s="188" t="s">
        <v>18</v>
      </c>
      <c r="K440" s="181" t="s">
        <v>18</v>
      </c>
      <c r="L440" s="181" t="s">
        <v>18</v>
      </c>
      <c r="M440" s="195" t="s">
        <v>73</v>
      </c>
      <c r="N440" s="181" t="s">
        <v>72</v>
      </c>
      <c r="O440" s="7"/>
      <c r="P440" s="105" t="s">
        <v>16</v>
      </c>
      <c r="Q440" s="105" t="s">
        <v>71</v>
      </c>
      <c r="R440" s="105" t="s">
        <v>10</v>
      </c>
      <c r="S440" s="104"/>
      <c r="T440" s="106"/>
      <c r="U440" s="106" t="s">
        <v>24</v>
      </c>
      <c r="V440" s="105" t="s">
        <v>24</v>
      </c>
      <c r="W440" s="3" t="s">
        <v>10</v>
      </c>
      <c r="X440" s="3" t="s">
        <v>10</v>
      </c>
      <c r="Y440" s="182" t="str">
        <f>_xlfn.LET(_xlpm.v,_xlfn.XLOOKUP(E440,'[1]SME09-01_LHM'!$D:$D,'[1]SME09-01_LHM'!$AL:$AL),IF(_xlpm.v=0,"",_xlpm.v))</f>
        <v>IBT-154</v>
      </c>
      <c r="Z440" s="104" t="str">
        <f>_xlfn.LET(_xlpm.v,IF(ISTEXT(Y440),_xlfn.XLOOKUP(Y440,'JP-PINT'!A:A,'JP-PINT'!B:B),""),IF(ISERROR(_xlpm.v),"",_xlpm.v))</f>
        <v>&gt;&gt; Item description</v>
      </c>
      <c r="AA440" s="16" t="s">
        <v>8</v>
      </c>
    </row>
    <row r="441" spans="1:27" s="241" customFormat="1" ht="12.75" customHeight="1">
      <c r="A441" s="4">
        <f>IF(ISTEXT(E441),_xlfn.XLOOKUP(E441,'[1]SME09-01_LHM'!$D:$D,'[1]SME09-01_LHM'!$B:$B))</f>
        <v>709</v>
      </c>
      <c r="B441" s="4">
        <f>_xlfn.XLOOKUP(F441,'[1]SME09-01_LHM'!$I:$I,'[1]SME09-01_LHM'!$B:$B)</f>
        <v>709</v>
      </c>
      <c r="C441" s="22">
        <f>ROW()-25</f>
        <v>416</v>
      </c>
      <c r="D441" s="240" t="s">
        <v>23</v>
      </c>
      <c r="E441" s="240" t="s">
        <v>69</v>
      </c>
      <c r="F441" s="335" t="s">
        <v>68</v>
      </c>
      <c r="G441" s="335" t="s">
        <v>67</v>
      </c>
      <c r="H441" s="240" t="s">
        <v>8</v>
      </c>
      <c r="I441" s="16" t="s">
        <v>52</v>
      </c>
      <c r="J441" s="336" t="s">
        <v>66</v>
      </c>
      <c r="K441" s="240" t="s">
        <v>66</v>
      </c>
      <c r="L441" s="337"/>
      <c r="M441" s="338"/>
      <c r="N441" s="23" t="s">
        <v>27</v>
      </c>
      <c r="O441" s="202"/>
      <c r="P441" s="339" t="s">
        <v>16</v>
      </c>
      <c r="Q441" s="339" t="s">
        <v>65</v>
      </c>
      <c r="R441" s="339" t="s">
        <v>10</v>
      </c>
      <c r="S441" s="340" t="s">
        <v>64</v>
      </c>
      <c r="T441" s="341" t="s">
        <v>63</v>
      </c>
      <c r="U441" s="341" t="s">
        <v>62</v>
      </c>
      <c r="V441" s="339" t="s">
        <v>61</v>
      </c>
      <c r="W441" s="203" t="s">
        <v>10</v>
      </c>
      <c r="X441" s="203"/>
      <c r="Y441" s="182" t="str">
        <f>_xlfn.LET(_xlpm.v,_xlfn.XLOOKUP(E441,'[1]SME09-01_LHM'!$D:$D,'[1]SME09-01_LHM'!$AL:$AL),IF(_xlpm.v=0,"",_xlpm.v))</f>
        <v/>
      </c>
      <c r="Z441" s="104" t="str">
        <f>_xlfn.LET(_xlpm.v,IF(ISTEXT(Y441),_xlfn.XLOOKUP(Y441,'JP-PINT'!A:A,'JP-PINT'!B:B),""),IF(ISERROR(_xlpm.v),"",_xlpm.v))</f>
        <v/>
      </c>
      <c r="AA441" s="23" t="s">
        <v>24</v>
      </c>
    </row>
    <row r="442" spans="1:27" s="6" customFormat="1" ht="12.75" customHeight="1">
      <c r="A442" s="4">
        <f>IF(ISTEXT(E442),_xlfn.XLOOKUP(E442,'[1]SME09-01_LHM'!$D:$D,'[1]SME09-01_LHM'!$B:$B))</f>
        <v>713</v>
      </c>
      <c r="B442" s="4">
        <f>_xlfn.XLOOKUP(F442,'[1]SME09-01_LHM'!$I:$I,'[1]SME09-01_LHM'!$B:$B)</f>
        <v>713</v>
      </c>
      <c r="C442" s="22">
        <f>ROW()-25</f>
        <v>417</v>
      </c>
      <c r="D442" s="29" t="s">
        <v>23</v>
      </c>
      <c r="E442" s="26" t="s">
        <v>48</v>
      </c>
      <c r="F442" s="122" t="s">
        <v>2774</v>
      </c>
      <c r="G442" s="25" t="s">
        <v>47</v>
      </c>
      <c r="H442" s="26" t="s">
        <v>43</v>
      </c>
      <c r="I442" s="26" t="s">
        <v>19</v>
      </c>
      <c r="J442" s="342" t="s">
        <v>18</v>
      </c>
      <c r="K442" s="343" t="s">
        <v>18</v>
      </c>
      <c r="L442" s="344"/>
      <c r="M442" s="345"/>
      <c r="N442" s="16" t="s">
        <v>46</v>
      </c>
      <c r="O442" s="7"/>
      <c r="P442" s="102" t="s">
        <v>16</v>
      </c>
      <c r="Q442" s="102" t="s">
        <v>45</v>
      </c>
      <c r="R442" s="105" t="s">
        <v>25</v>
      </c>
      <c r="S442" s="104" t="s">
        <v>24</v>
      </c>
      <c r="T442" s="106" t="s">
        <v>24</v>
      </c>
      <c r="U442" s="106" t="s">
        <v>24</v>
      </c>
      <c r="V442" s="105" t="s">
        <v>24</v>
      </c>
      <c r="W442" s="3" t="s">
        <v>25</v>
      </c>
      <c r="X442" s="3"/>
      <c r="Y442" s="182" t="str">
        <f>_xlfn.LET(_xlpm.v,_xlfn.XLOOKUP(E442,'[1]SME09-01_LHM'!$D:$D,'[1]SME09-01_LHM'!$AL:$AL),IF(_xlpm.v=0,"",_xlpm.v))</f>
        <v>IBG-32</v>
      </c>
      <c r="Z442" s="104" t="str">
        <f>_xlfn.LET(_xlpm.v,IF(ISTEXT(Y442),_xlfn.XLOOKUP(Y442,'JP-PINT'!A:A,'JP-PINT'!B:B),""),IF(ISERROR(_xlpm.v),"",_xlpm.v))</f>
        <v>&gt;&gt; ITEM ATTRIBUTES</v>
      </c>
      <c r="AA442" s="23" t="s">
        <v>43</v>
      </c>
    </row>
    <row r="443" spans="1:27" s="137" customFormat="1" ht="12.75" customHeight="1">
      <c r="A443" s="4">
        <f>IF(ISTEXT(E443),_xlfn.XLOOKUP(E443,'[1]SME09-01_LHM'!$D:$D,'[1]SME09-01_LHM'!$B:$B))</f>
        <v>715</v>
      </c>
      <c r="B443" s="4">
        <f>_xlfn.XLOOKUP(F443,'[1]SME09-01_LHM'!$I:$I,'[1]SME09-01_LHM'!$B:$B)</f>
        <v>715</v>
      </c>
      <c r="C443" s="102">
        <f>ROW()-25</f>
        <v>418</v>
      </c>
      <c r="D443" s="103" t="s">
        <v>23</v>
      </c>
      <c r="E443" s="103" t="s">
        <v>42</v>
      </c>
      <c r="F443" s="105" t="s">
        <v>41</v>
      </c>
      <c r="G443" s="170" t="s">
        <v>40</v>
      </c>
      <c r="H443" s="103" t="s">
        <v>8</v>
      </c>
      <c r="I443" s="103" t="s">
        <v>19</v>
      </c>
      <c r="J443" s="106" t="s">
        <v>18</v>
      </c>
      <c r="K443" s="103" t="s">
        <v>18</v>
      </c>
      <c r="L443" s="171"/>
      <c r="M443" s="146"/>
      <c r="N443" s="103" t="s">
        <v>34</v>
      </c>
      <c r="O443" s="136"/>
      <c r="P443" s="105" t="s">
        <v>16</v>
      </c>
      <c r="Q443" s="105" t="s">
        <v>39</v>
      </c>
      <c r="R443" s="105" t="s">
        <v>10</v>
      </c>
      <c r="S443" s="104" t="s">
        <v>24</v>
      </c>
      <c r="T443" s="103" t="s">
        <v>24</v>
      </c>
      <c r="U443" s="103" t="s">
        <v>24</v>
      </c>
      <c r="V443" s="105" t="s">
        <v>24</v>
      </c>
      <c r="W443" s="107" t="s">
        <v>10</v>
      </c>
      <c r="X443" s="107"/>
      <c r="Y443" s="192" t="str">
        <f>_xlfn.LET(_xlpm.v,_xlfn.XLOOKUP(E443,'[1]SME09-01_LHM'!$D:$D,'[1]SME09-01_LHM'!$AL:$AL),IF(_xlpm.v=0,"",_xlpm.v))</f>
        <v>IBT-160</v>
      </c>
      <c r="Z443" s="104" t="str">
        <f>_xlfn.LET(_xlpm.v,IF(ISTEXT(Y443),_xlfn.XLOOKUP(Y443,'JP-PINT'!A:A,'JP-PINT'!B:B),""),IF(ISERROR(_xlpm.v),"",_xlpm.v))</f>
        <v>&gt;&gt;&gt; Item attribute name</v>
      </c>
      <c r="AA443" s="103" t="s">
        <v>31</v>
      </c>
    </row>
    <row r="444" spans="1:27" s="6" customFormat="1" ht="12.75" customHeight="1">
      <c r="A444" s="4">
        <f>IF(ISTEXT(E444),_xlfn.XLOOKUP(E444,'[1]SME09-01_LHM'!$D:$D,'[1]SME09-01_LHM'!$B:$B))</f>
        <v>716</v>
      </c>
      <c r="B444" s="4">
        <f>_xlfn.XLOOKUP(F444,'[1]SME09-01_LHM'!$I:$I,'[1]SME09-01_LHM'!$B:$B)</f>
        <v>716</v>
      </c>
      <c r="C444" s="22">
        <f>ROW()-25</f>
        <v>419</v>
      </c>
      <c r="D444" s="16" t="s">
        <v>23</v>
      </c>
      <c r="E444" s="16" t="s">
        <v>37</v>
      </c>
      <c r="F444" s="30" t="s">
        <v>36</v>
      </c>
      <c r="G444" s="32" t="s">
        <v>35</v>
      </c>
      <c r="H444" s="31" t="s">
        <v>8</v>
      </c>
      <c r="I444" s="16" t="s">
        <v>19</v>
      </c>
      <c r="J444" s="179" t="s">
        <v>18</v>
      </c>
      <c r="K444" s="179" t="s">
        <v>18</v>
      </c>
      <c r="L444" s="346"/>
      <c r="M444" s="347"/>
      <c r="N444" s="16" t="s">
        <v>34</v>
      </c>
      <c r="O444" s="7"/>
      <c r="P444" s="105" t="s">
        <v>16</v>
      </c>
      <c r="Q444" s="105" t="s">
        <v>33</v>
      </c>
      <c r="R444" s="105" t="s">
        <v>10</v>
      </c>
      <c r="S444" s="104" t="s">
        <v>24</v>
      </c>
      <c r="T444" s="103" t="s">
        <v>24</v>
      </c>
      <c r="U444" s="103" t="s">
        <v>24</v>
      </c>
      <c r="V444" s="105" t="s">
        <v>24</v>
      </c>
      <c r="W444" s="3" t="s">
        <v>10</v>
      </c>
      <c r="X444" s="3"/>
      <c r="Y444" s="182" t="str">
        <f>_xlfn.LET(_xlpm.v,_xlfn.XLOOKUP(E444,'[1]SME09-01_LHM'!$D:$D,'[1]SME09-01_LHM'!$AL:$AL),IF(_xlpm.v=0,"",_xlpm.v))</f>
        <v>IBT-161</v>
      </c>
      <c r="Z444" s="104" t="str">
        <f>_xlfn.LET(_xlpm.v,IF(ISTEXT(Y444),_xlfn.XLOOKUP(Y444,'JP-PINT'!A:A,'JP-PINT'!B:B),""),IF(ISERROR(_xlpm.v),"",_xlpm.v))</f>
        <v>&gt;&gt;&gt; Item attribute value</v>
      </c>
      <c r="AA444" s="16" t="s">
        <v>31</v>
      </c>
    </row>
    <row r="445" spans="1:27" s="6" customFormat="1" ht="12.75" customHeight="1">
      <c r="A445" s="4">
        <f>IF(ISTEXT(E445),_xlfn.XLOOKUP(E445,'[1]SME09-01_LHM'!$D:$D,'[1]SME09-01_LHM'!$B:$B))</f>
        <v>710</v>
      </c>
      <c r="B445" s="4">
        <f>_xlfn.XLOOKUP(F445,'[1]SME09-01_LHM'!$I:$I,'[1]SME09-01_LHM'!$B:$B)</f>
        <v>710</v>
      </c>
      <c r="C445" s="22">
        <f>ROW()-25</f>
        <v>420</v>
      </c>
      <c r="D445" s="343" t="s">
        <v>23</v>
      </c>
      <c r="E445" s="26" t="s">
        <v>60</v>
      </c>
      <c r="F445" s="348" t="s">
        <v>2775</v>
      </c>
      <c r="G445" s="349" t="s">
        <v>59</v>
      </c>
      <c r="H445" s="343" t="s">
        <v>8</v>
      </c>
      <c r="I445" s="26" t="s">
        <v>52</v>
      </c>
      <c r="J445" s="343" t="s">
        <v>18</v>
      </c>
      <c r="K445" s="343" t="s">
        <v>18</v>
      </c>
      <c r="L445" s="344"/>
      <c r="M445" s="350"/>
      <c r="N445" s="23" t="s">
        <v>27</v>
      </c>
      <c r="O445" s="202"/>
      <c r="P445" s="339" t="s">
        <v>16</v>
      </c>
      <c r="Q445" s="339" t="s">
        <v>58</v>
      </c>
      <c r="R445" s="105" t="s">
        <v>25</v>
      </c>
      <c r="S445" s="340" t="s">
        <v>24</v>
      </c>
      <c r="T445" s="103" t="s">
        <v>57</v>
      </c>
      <c r="U445" s="103" t="s">
        <v>24</v>
      </c>
      <c r="V445" s="103" t="s">
        <v>24</v>
      </c>
      <c r="W445" s="203" t="s">
        <v>25</v>
      </c>
      <c r="X445" s="203"/>
      <c r="Y445" s="182" t="str">
        <f>_xlfn.LET(_xlpm.v,_xlfn.XLOOKUP(E445,'[1]SME09-01_LHM'!$D:$D,'[1]SME09-01_LHM'!$AL:$AL),IF(_xlpm.v=0,"",_xlpm.v))</f>
        <v/>
      </c>
      <c r="Z445" s="104" t="str">
        <f>_xlfn.LET(_xlpm.v,IF(ISTEXT(Y445),_xlfn.XLOOKUP(Y445,'JP-PINT'!A:A,'JP-PINT'!B:B),""),IF(ISERROR(_xlpm.v),"",_xlpm.v))</f>
        <v/>
      </c>
      <c r="AA445" s="23" t="s">
        <v>24</v>
      </c>
    </row>
    <row r="446" spans="1:27" s="241" customFormat="1" ht="12.75" customHeight="1">
      <c r="A446" s="4">
        <f>IF(ISTEXT(E446),_xlfn.XLOOKUP(E446,'[1]SME09-01_LHM'!$D:$D,'[1]SME09-01_LHM'!$B:$B))</f>
        <v>712</v>
      </c>
      <c r="B446" s="4">
        <f>_xlfn.XLOOKUP(F446,'[1]SME09-01_LHM'!$I:$I,'[1]SME09-01_LHM'!$B:$B)</f>
        <v>712</v>
      </c>
      <c r="C446" s="22">
        <f>ROW()-25</f>
        <v>421</v>
      </c>
      <c r="D446" s="351" t="s">
        <v>56</v>
      </c>
      <c r="E446" s="351" t="s">
        <v>55</v>
      </c>
      <c r="F446" s="18" t="s">
        <v>54</v>
      </c>
      <c r="G446" s="18" t="s">
        <v>53</v>
      </c>
      <c r="H446" s="16" t="s">
        <v>8</v>
      </c>
      <c r="I446" s="16" t="s">
        <v>52</v>
      </c>
      <c r="J446" s="188" t="s">
        <v>18</v>
      </c>
      <c r="K446" s="351" t="s">
        <v>18</v>
      </c>
      <c r="L446" s="352"/>
      <c r="M446" s="186"/>
      <c r="N446" s="181" t="s">
        <v>46</v>
      </c>
      <c r="O446" s="7"/>
      <c r="P446" s="353" t="s">
        <v>16</v>
      </c>
      <c r="Q446" s="105" t="s">
        <v>51</v>
      </c>
      <c r="R446" s="353" t="s">
        <v>10</v>
      </c>
      <c r="S446" s="104" t="s">
        <v>24</v>
      </c>
      <c r="T446" s="106" t="s">
        <v>50</v>
      </c>
      <c r="U446" s="106" t="s">
        <v>24</v>
      </c>
      <c r="V446" s="103" t="s">
        <v>24</v>
      </c>
      <c r="W446" s="3" t="s">
        <v>10</v>
      </c>
      <c r="X446" s="3"/>
      <c r="Y446" s="182" t="str">
        <f>_xlfn.LET(_xlpm.v,_xlfn.XLOOKUP(E446,'[1]SME09-01_LHM'!$D:$D,'[1]SME09-01_LHM'!$AL:$AL),IF(_xlpm.v=0,"",_xlpm.v))</f>
        <v>IBT-158</v>
      </c>
      <c r="Z446" s="104" t="str">
        <f>_xlfn.LET(_xlpm.v,IF(ISTEXT(Y446),_xlfn.XLOOKUP(Y446,'JP-PINT'!A:A,'JP-PINT'!B:B),""),IF(ISERROR(_xlpm.v),"",_xlpm.v))</f>
        <v>&gt;&gt; Item classification identifier</v>
      </c>
      <c r="AA446" s="16" t="s">
        <v>8</v>
      </c>
    </row>
    <row r="447" spans="1:27" s="12" customFormat="1" ht="12.75" customHeight="1">
      <c r="A447" s="4">
        <f>IF(ISTEXT(E447),_xlfn.XLOOKUP(E447,'[1]SME09-01_LHM'!$D:$D,'[1]SME09-01_LHM'!$B:$B))</f>
        <v>717</v>
      </c>
      <c r="B447" s="4">
        <f>_xlfn.XLOOKUP(F447,'[1]SME09-01_LHM'!$I:$I,'[1]SME09-01_LHM'!$B:$B)</f>
        <v>717</v>
      </c>
      <c r="C447" s="22">
        <f>ROW()-25</f>
        <v>422</v>
      </c>
      <c r="D447" s="29" t="s">
        <v>23</v>
      </c>
      <c r="E447" s="26" t="s">
        <v>30</v>
      </c>
      <c r="F447" s="93" t="s">
        <v>2776</v>
      </c>
      <c r="G447" s="25" t="s">
        <v>29</v>
      </c>
      <c r="H447" s="26" t="s">
        <v>28</v>
      </c>
      <c r="I447" s="26" t="s">
        <v>19</v>
      </c>
      <c r="J447" s="343" t="s">
        <v>18</v>
      </c>
      <c r="K447" s="343" t="s">
        <v>18</v>
      </c>
      <c r="L447" s="344"/>
      <c r="M447" s="350"/>
      <c r="N447" s="23" t="s">
        <v>27</v>
      </c>
      <c r="O447" s="7"/>
      <c r="P447" s="102" t="s">
        <v>16</v>
      </c>
      <c r="Q447" s="102" t="s">
        <v>26</v>
      </c>
      <c r="R447" s="105" t="s">
        <v>25</v>
      </c>
      <c r="S447" s="104" t="s">
        <v>24</v>
      </c>
      <c r="T447" s="103" t="s">
        <v>24</v>
      </c>
      <c r="U447" s="103" t="s">
        <v>24</v>
      </c>
      <c r="V447" s="105" t="s">
        <v>24</v>
      </c>
      <c r="W447" s="3" t="s">
        <v>25</v>
      </c>
      <c r="X447" s="3"/>
      <c r="Y447" s="182" t="str">
        <f>_xlfn.LET(_xlpm.v,_xlfn.XLOOKUP(E447,'[1]SME09-01_LHM'!$D:$D,'[1]SME09-01_LHM'!$AL:$AL),IF(_xlpm.v=0,"",_xlpm.v))</f>
        <v/>
      </c>
      <c r="Z447" s="104" t="str">
        <f>_xlfn.LET(_xlpm.v,IF(ISTEXT(Y447),_xlfn.XLOOKUP(Y447,'JP-PINT'!A:A,'JP-PINT'!B:B),""),IF(ISERROR(_xlpm.v),"",_xlpm.v))</f>
        <v/>
      </c>
      <c r="AA447" s="23" t="s">
        <v>24</v>
      </c>
    </row>
    <row r="448" spans="1:27" s="137" customFormat="1" ht="12.75" customHeight="1">
      <c r="A448" s="4">
        <f>IF(ISTEXT(E448),_xlfn.XLOOKUP(E448,'[1]SME09-01_LHM'!$D:$D,'[1]SME09-01_LHM'!$B:$B))</f>
        <v>719</v>
      </c>
      <c r="B448" s="4">
        <f>_xlfn.XLOOKUP(F448,'[1]SME09-01_LHM'!$I:$I,'[1]SME09-01_LHM'!$B:$B)</f>
        <v>719</v>
      </c>
      <c r="C448" s="102">
        <f>ROW()-25</f>
        <v>423</v>
      </c>
      <c r="D448" s="103" t="s">
        <v>23</v>
      </c>
      <c r="E448" s="103" t="s">
        <v>22</v>
      </c>
      <c r="F448" s="105" t="s">
        <v>21</v>
      </c>
      <c r="G448" s="170" t="s">
        <v>20</v>
      </c>
      <c r="H448" s="103" t="s">
        <v>8</v>
      </c>
      <c r="I448" s="103" t="s">
        <v>19</v>
      </c>
      <c r="J448" s="106" t="s">
        <v>18</v>
      </c>
      <c r="K448" s="103" t="s">
        <v>18</v>
      </c>
      <c r="L448" s="171"/>
      <c r="M448" s="146"/>
      <c r="N448" s="103" t="s">
        <v>17</v>
      </c>
      <c r="O448" s="136"/>
      <c r="P448" s="105" t="s">
        <v>16</v>
      </c>
      <c r="Q448" s="105" t="s">
        <v>15</v>
      </c>
      <c r="R448" s="105" t="s">
        <v>10</v>
      </c>
      <c r="S448" s="104" t="s">
        <v>14</v>
      </c>
      <c r="T448" s="103" t="s">
        <v>13</v>
      </c>
      <c r="U448" s="103" t="s">
        <v>12</v>
      </c>
      <c r="V448" s="105" t="s">
        <v>11</v>
      </c>
      <c r="W448" s="107" t="s">
        <v>10</v>
      </c>
      <c r="X448" s="107"/>
      <c r="Y448" s="192" t="str">
        <f>_xlfn.LET(_xlpm.v,_xlfn.XLOOKUP(E448,'[1]SME09-01_LHM'!$D:$D,'[1]SME09-01_LHM'!$AL:$AL),IF(_xlpm.v=0,"",_xlpm.v))</f>
        <v>IBT-159</v>
      </c>
      <c r="Z448" s="104" t="str">
        <f>_xlfn.LET(_xlpm.v,IF(ISTEXT(Y448),_xlfn.XLOOKUP(Y448,'JP-PINT'!A:A,'JP-PINT'!B:B),""),IF(ISERROR(_xlpm.v),"",_xlpm.v))</f>
        <v>&gt;&gt; Item country of origin</v>
      </c>
      <c r="AA448" s="103" t="s">
        <v>8</v>
      </c>
    </row>
    <row r="449" spans="1:27" s="6" customFormat="1" ht="12.75" customHeight="1">
      <c r="A449" s="4">
        <f>IF(ISTEXT(E449),_xlfn.XLOOKUP(E449,'[1]SME09-01_LHM'!$D:$D,'[1]SME09-01_LHM'!$B:$B))</f>
        <v>563</v>
      </c>
      <c r="B449" s="4">
        <f>_xlfn.XLOOKUP(F449,'[1]SME09-01_LHM'!$I:$I,'[1]SME09-01_LHM'!$B:$B)</f>
        <v>563</v>
      </c>
      <c r="C449" s="22">
        <f>ROW()-25</f>
        <v>424</v>
      </c>
      <c r="D449" s="26" t="s">
        <v>23</v>
      </c>
      <c r="E449" s="89" t="s">
        <v>572</v>
      </c>
      <c r="F449" s="93" t="s">
        <v>2778</v>
      </c>
      <c r="G449" s="25" t="s">
        <v>571</v>
      </c>
      <c r="H449" s="26" t="s">
        <v>8</v>
      </c>
      <c r="I449" s="26" t="s">
        <v>74</v>
      </c>
      <c r="J449" s="201" t="s">
        <v>18</v>
      </c>
      <c r="K449" s="199" t="s">
        <v>18</v>
      </c>
      <c r="L449" s="245"/>
      <c r="M449" s="189"/>
      <c r="N449" s="23" t="s">
        <v>27</v>
      </c>
      <c r="O449" s="7"/>
      <c r="P449" s="105" t="s">
        <v>16</v>
      </c>
      <c r="Q449" s="105" t="s">
        <v>570</v>
      </c>
      <c r="R449" s="105" t="s">
        <v>25</v>
      </c>
      <c r="S449" s="104"/>
      <c r="T449" s="106" t="s">
        <v>103</v>
      </c>
      <c r="U449" s="106" t="s">
        <v>24</v>
      </c>
      <c r="V449" s="105" t="s">
        <v>24</v>
      </c>
      <c r="W449" s="3" t="s">
        <v>25</v>
      </c>
      <c r="X449" s="3"/>
      <c r="Y449" s="182" t="str">
        <f>_xlfn.LET(_xlpm.v,_xlfn.XLOOKUP(E449,'[1]SME09-01_LHM'!$D:$D,'[1]SME09-01_LHM'!$AL:$AL),IF(_xlpm.v=0,"",_xlpm.v))</f>
        <v/>
      </c>
      <c r="Z449" s="104" t="str">
        <f>_xlfn.LET(_xlpm.v,IF(ISTEXT(Y449),_xlfn.XLOOKUP(Y449,'JP-PINT'!A:A,'JP-PINT'!B:B),""),IF(ISERROR(_xlpm.v),"",_xlpm.v))</f>
        <v/>
      </c>
      <c r="AA449" s="23" t="s">
        <v>24</v>
      </c>
    </row>
    <row r="450" spans="1:27" s="6" customFormat="1" ht="12.75" customHeight="1">
      <c r="A450" s="4">
        <f>IF(ISTEXT(E450),_xlfn.XLOOKUP(E450,'[1]SME09-01_LHM'!$D:$D,'[1]SME09-01_LHM'!$B:$B))</f>
        <v>394</v>
      </c>
      <c r="B450" s="4">
        <f>_xlfn.XLOOKUP(F450,'[1]SME09-01_LHM'!$I:$I,'[1]SME09-01_LHM'!$B:$B)</f>
        <v>565</v>
      </c>
      <c r="C450" s="22">
        <f>ROW()-25</f>
        <v>425</v>
      </c>
      <c r="D450" s="16" t="s">
        <v>23</v>
      </c>
      <c r="E450" s="16" t="s">
        <v>569</v>
      </c>
      <c r="F450" s="18" t="s">
        <v>568</v>
      </c>
      <c r="G450" s="18" t="s">
        <v>567</v>
      </c>
      <c r="H450" s="16" t="s">
        <v>31</v>
      </c>
      <c r="I450" s="16" t="s">
        <v>74</v>
      </c>
      <c r="J450" s="188" t="s">
        <v>135</v>
      </c>
      <c r="K450" s="181" t="s">
        <v>135</v>
      </c>
      <c r="L450" s="242"/>
      <c r="M450" s="186"/>
      <c r="N450" s="23" t="s">
        <v>27</v>
      </c>
      <c r="O450" s="7"/>
      <c r="P450" s="105" t="s">
        <v>16</v>
      </c>
      <c r="Q450" s="105" t="s">
        <v>327</v>
      </c>
      <c r="R450" s="105" t="s">
        <v>10</v>
      </c>
      <c r="S450" s="104"/>
      <c r="T450" s="106" t="s">
        <v>103</v>
      </c>
      <c r="U450" s="106" t="s">
        <v>24</v>
      </c>
      <c r="V450" s="105" t="s">
        <v>24</v>
      </c>
      <c r="W450" s="3" t="s">
        <v>10</v>
      </c>
      <c r="X450" s="3"/>
      <c r="Y450" s="182" t="str">
        <f>_xlfn.LET(_xlpm.v,_xlfn.XLOOKUP(E450,'[1]SME09-01_LHM'!$D:$D,'[1]SME09-01_LHM'!$AL:$AL),IF(_xlpm.v=0,"",_xlpm.v))</f>
        <v>IBT-014</v>
      </c>
      <c r="Z450" s="104" t="str">
        <f>_xlfn.LET(_xlpm.v,IF(ISTEXT(Y450),_xlfn.XLOOKUP(Y450,'JP-PINT'!A:A,'JP-PINT'!B:B),""),IF(ISERROR(_xlpm.v),"",_xlpm.v))</f>
        <v>Sales order reference</v>
      </c>
      <c r="AA450" s="23" t="s">
        <v>24</v>
      </c>
    </row>
    <row r="451" spans="1:27" s="6" customFormat="1" ht="12.75" customHeight="1">
      <c r="A451" s="4">
        <f>IF(ISTEXT(E451),_xlfn.XLOOKUP(E451,'[1]SME09-01_LHM'!$D:$D,'[1]SME09-01_LHM'!$B:$B))</f>
        <v>566</v>
      </c>
      <c r="B451" s="4">
        <f>_xlfn.XLOOKUP(F451,'[1]SME09-01_LHM'!$I:$I,'[1]SME09-01_LHM'!$B:$B)</f>
        <v>566</v>
      </c>
      <c r="C451" s="37">
        <f>ROW()-25</f>
        <v>426</v>
      </c>
      <c r="D451" s="35" t="s">
        <v>23</v>
      </c>
      <c r="E451" s="35" t="s">
        <v>566</v>
      </c>
      <c r="F451" s="37" t="s">
        <v>565</v>
      </c>
      <c r="G451" s="37" t="s">
        <v>564</v>
      </c>
      <c r="H451" s="35" t="s">
        <v>8</v>
      </c>
      <c r="I451" s="39" t="s">
        <v>227</v>
      </c>
      <c r="J451" s="38" t="s">
        <v>505</v>
      </c>
      <c r="K451" s="35" t="s">
        <v>505</v>
      </c>
      <c r="L451" s="242"/>
      <c r="M451" s="19"/>
      <c r="N451" s="35" t="s">
        <v>27</v>
      </c>
      <c r="O451" s="206"/>
      <c r="P451" s="148" t="s">
        <v>225</v>
      </c>
      <c r="Q451" s="148" t="s">
        <v>523</v>
      </c>
      <c r="R451" s="148" t="s">
        <v>10</v>
      </c>
      <c r="S451" s="148"/>
      <c r="T451" s="153"/>
      <c r="U451" s="153"/>
      <c r="V451" s="130"/>
      <c r="W451" s="3" t="s">
        <v>10</v>
      </c>
      <c r="X451" s="3"/>
      <c r="Y451" s="182" t="str">
        <f>_xlfn.LET(_xlpm.v,_xlfn.XLOOKUP(E451,'[1]SME09-01_LHM'!$D:$D,'[1]SME09-01_LHM'!$AL:$AL),IF(_xlpm.v=0,"",_xlpm.v))</f>
        <v/>
      </c>
      <c r="Z451" s="104" t="str">
        <f>_xlfn.LET(_xlpm.v,IF(ISTEXT(Y451),_xlfn.XLOOKUP(Y451,'JP-PINT'!A:A,'JP-PINT'!B:B),""),IF(ISERROR(_xlpm.v),"",_xlpm.v))</f>
        <v/>
      </c>
      <c r="AA451" s="35"/>
    </row>
    <row r="452" spans="1:27" s="45" customFormat="1" ht="12.75" customHeight="1">
      <c r="A452" s="4">
        <f>IF(ISTEXT(E452),_xlfn.XLOOKUP(E452,'[1]SME09-01_LHM'!$D:$D,'[1]SME09-01_LHM'!$B:$B))</f>
        <v>567</v>
      </c>
      <c r="B452" s="4">
        <f>_xlfn.XLOOKUP(F452,'[1]SME09-01_LHM'!$I:$I,'[1]SME09-01_LHM'!$B:$B)</f>
        <v>567</v>
      </c>
      <c r="C452" s="37">
        <f>ROW()-25</f>
        <v>427</v>
      </c>
      <c r="D452" s="35" t="s">
        <v>23</v>
      </c>
      <c r="E452" s="35" t="s">
        <v>563</v>
      </c>
      <c r="F452" s="37" t="s">
        <v>562</v>
      </c>
      <c r="G452" s="37" t="s">
        <v>561</v>
      </c>
      <c r="H452" s="35" t="s">
        <v>8</v>
      </c>
      <c r="I452" s="39" t="s">
        <v>127</v>
      </c>
      <c r="J452" s="197" t="s">
        <v>18</v>
      </c>
      <c r="K452" s="197" t="s">
        <v>18</v>
      </c>
      <c r="L452" s="242"/>
      <c r="M452" s="186"/>
      <c r="N452" s="35" t="s">
        <v>27</v>
      </c>
      <c r="O452" s="280"/>
      <c r="P452" s="148" t="s">
        <v>16</v>
      </c>
      <c r="Q452" s="148" t="s">
        <v>322</v>
      </c>
      <c r="R452" s="148" t="s">
        <v>10</v>
      </c>
      <c r="S452" s="130"/>
      <c r="T452" s="153"/>
      <c r="U452" s="153" t="s">
        <v>24</v>
      </c>
      <c r="V452" s="148" t="s">
        <v>24</v>
      </c>
      <c r="W452" s="203" t="s">
        <v>10</v>
      </c>
      <c r="X452" s="203"/>
      <c r="Y452" s="182" t="str">
        <f>_xlfn.LET(_xlpm.v,_xlfn.XLOOKUP(E452,'[1]SME09-01_LHM'!$D:$D,'[1]SME09-01_LHM'!$AL:$AL),IF(_xlpm.v=0,"",_xlpm.v))</f>
        <v/>
      </c>
      <c r="Z452" s="104" t="str">
        <f>_xlfn.LET(_xlpm.v,IF(ISTEXT(Y452),_xlfn.XLOOKUP(Y452,'JP-PINT'!A:A,'JP-PINT'!B:B),""),IF(ISERROR(_xlpm.v),"",_xlpm.v))</f>
        <v/>
      </c>
      <c r="AA452" s="35" t="s">
        <v>24</v>
      </c>
    </row>
    <row r="453" spans="1:27" s="281" customFormat="1" ht="12.75" customHeight="1">
      <c r="A453" s="4">
        <f>IF(ISTEXT(E453),_xlfn.XLOOKUP(E453,'[1]SME09-01_LHM'!$D:$D,'[1]SME09-01_LHM'!$B:$B))</f>
        <v>568</v>
      </c>
      <c r="B453" s="4">
        <f>_xlfn.XLOOKUP(F453,'[1]SME09-01_LHM'!$I:$I,'[1]SME09-01_LHM'!$B:$B)</f>
        <v>568</v>
      </c>
      <c r="C453" s="22">
        <f>ROW()-25</f>
        <v>428</v>
      </c>
      <c r="D453" s="16" t="s">
        <v>23</v>
      </c>
      <c r="E453" s="16" t="s">
        <v>541</v>
      </c>
      <c r="F453" s="18" t="s">
        <v>560</v>
      </c>
      <c r="G453" s="18" t="s">
        <v>559</v>
      </c>
      <c r="H453" s="16" t="s">
        <v>28</v>
      </c>
      <c r="I453" s="16" t="s">
        <v>74</v>
      </c>
      <c r="J453" s="188" t="s">
        <v>18</v>
      </c>
      <c r="K453" s="181" t="s">
        <v>18</v>
      </c>
      <c r="L453" s="242"/>
      <c r="M453" s="186"/>
      <c r="N453" s="23" t="s">
        <v>27</v>
      </c>
      <c r="O453" s="7"/>
      <c r="P453" s="105" t="s">
        <v>16</v>
      </c>
      <c r="Q453" s="105" t="s">
        <v>318</v>
      </c>
      <c r="R453" s="105" t="s">
        <v>10</v>
      </c>
      <c r="S453" s="104"/>
      <c r="T453" s="103" t="s">
        <v>103</v>
      </c>
      <c r="U453" s="103" t="s">
        <v>24</v>
      </c>
      <c r="V453" s="105" t="s">
        <v>24</v>
      </c>
      <c r="W453" s="3" t="s">
        <v>10</v>
      </c>
      <c r="X453" s="3"/>
      <c r="Y453" s="182" t="str">
        <f>_xlfn.LET(_xlpm.v,_xlfn.XLOOKUP(E453,'[1]SME09-01_LHM'!$D:$D,'[1]SME09-01_LHM'!$AL:$AL),IF(_xlpm.v=0,"",_xlpm.v))</f>
        <v/>
      </c>
      <c r="Z453" s="104" t="str">
        <f>_xlfn.LET(_xlpm.v,IF(ISTEXT(Y453),_xlfn.XLOOKUP(Y453,'JP-PINT'!A:A,'JP-PINT'!B:B),""),IF(ISERROR(_xlpm.v),"",_xlpm.v))</f>
        <v/>
      </c>
      <c r="AA453" s="23" t="s">
        <v>24</v>
      </c>
    </row>
    <row r="454" spans="1:27" s="6" customFormat="1" ht="12.75" customHeight="1">
      <c r="A454" s="4">
        <f>IF(ISTEXT(E454),_xlfn.XLOOKUP(E454,'[1]SME09-01_LHM'!$D:$D,'[1]SME09-01_LHM'!$B:$B))</f>
        <v>397</v>
      </c>
      <c r="B454" s="4">
        <f>_xlfn.XLOOKUP(F454,'[1]SME09-01_LHM'!$I:$I,'[1]SME09-01_LHM'!$B:$B)</f>
        <v>569</v>
      </c>
      <c r="C454" s="22">
        <f>ROW()-25</f>
        <v>429</v>
      </c>
      <c r="D454" s="16" t="s">
        <v>23</v>
      </c>
      <c r="E454" s="16" t="s">
        <v>558</v>
      </c>
      <c r="F454" s="18" t="s">
        <v>557</v>
      </c>
      <c r="G454" s="18" t="s">
        <v>556</v>
      </c>
      <c r="H454" s="16" t="s">
        <v>8</v>
      </c>
      <c r="I454" s="70" t="s">
        <v>143</v>
      </c>
      <c r="J454" s="75" t="s">
        <v>18</v>
      </c>
      <c r="K454" s="181" t="s">
        <v>18</v>
      </c>
      <c r="L454" s="242"/>
      <c r="M454" s="72"/>
      <c r="N454" s="23" t="s">
        <v>27</v>
      </c>
      <c r="O454" s="7"/>
      <c r="P454" s="105" t="s">
        <v>16</v>
      </c>
      <c r="Q454" s="105" t="s">
        <v>307</v>
      </c>
      <c r="R454" s="105" t="s">
        <v>10</v>
      </c>
      <c r="S454" s="198"/>
      <c r="T454" s="70" t="s">
        <v>24</v>
      </c>
      <c r="U454" s="70" t="s">
        <v>24</v>
      </c>
      <c r="V454" s="66" t="s">
        <v>24</v>
      </c>
      <c r="W454" s="3" t="s">
        <v>10</v>
      </c>
      <c r="X454" s="3"/>
      <c r="Y454" s="182" t="str">
        <f>_xlfn.LET(_xlpm.v,_xlfn.XLOOKUP(E454,'[1]SME09-01_LHM'!$D:$D,'[1]SME09-01_LHM'!$AL:$AL),IF(_xlpm.v=0,"",_xlpm.v))</f>
        <v/>
      </c>
      <c r="Z454" s="104" t="str">
        <f>_xlfn.LET(_xlpm.v,IF(ISTEXT(Y454),_xlfn.XLOOKUP(Y454,'JP-PINT'!A:A,'JP-PINT'!B:B),""),IF(ISERROR(_xlpm.v),"",_xlpm.v))</f>
        <v/>
      </c>
      <c r="AA454" s="23" t="s">
        <v>24</v>
      </c>
    </row>
    <row r="455" spans="1:27" s="6" customFormat="1" ht="12.75" customHeight="1">
      <c r="A455" s="4">
        <f>IF(ISTEXT(E455),_xlfn.XLOOKUP(E455,'[1]SME09-01_LHM'!$D:$D,'[1]SME09-01_LHM'!$B:$B))</f>
        <v>570</v>
      </c>
      <c r="B455" s="4">
        <f>_xlfn.XLOOKUP(F455,'[1]SME09-01_LHM'!$I:$I,'[1]SME09-01_LHM'!$B:$B)</f>
        <v>570</v>
      </c>
      <c r="C455" s="22">
        <f>ROW()-25</f>
        <v>430</v>
      </c>
      <c r="D455" s="26" t="s">
        <v>23</v>
      </c>
      <c r="E455" s="89" t="s">
        <v>555</v>
      </c>
      <c r="F455" s="93" t="s">
        <v>2779</v>
      </c>
      <c r="G455" s="25" t="s">
        <v>554</v>
      </c>
      <c r="H455" s="26" t="s">
        <v>8</v>
      </c>
      <c r="I455" s="26" t="s">
        <v>74</v>
      </c>
      <c r="J455" s="199" t="s">
        <v>66</v>
      </c>
      <c r="K455" s="199" t="s">
        <v>66</v>
      </c>
      <c r="L455" s="245"/>
      <c r="M455" s="190"/>
      <c r="N455" s="181" t="s">
        <v>103</v>
      </c>
      <c r="O455" s="7"/>
      <c r="P455" s="105" t="s">
        <v>16</v>
      </c>
      <c r="Q455" s="105" t="s">
        <v>553</v>
      </c>
      <c r="R455" s="105" t="s">
        <v>25</v>
      </c>
      <c r="S455" s="104"/>
      <c r="T455" s="103" t="s">
        <v>103</v>
      </c>
      <c r="U455" s="103" t="s">
        <v>24</v>
      </c>
      <c r="V455" s="105" t="s">
        <v>24</v>
      </c>
      <c r="W455" s="3" t="s">
        <v>25</v>
      </c>
      <c r="X455" s="3"/>
      <c r="Y455" s="182" t="str">
        <f>_xlfn.LET(_xlpm.v,_xlfn.XLOOKUP(E455,'[1]SME09-01_LHM'!$D:$D,'[1]SME09-01_LHM'!$AL:$AL),IF(_xlpm.v=0,"",_xlpm.v))</f>
        <v/>
      </c>
      <c r="Z455" s="104" t="str">
        <f>_xlfn.LET(_xlpm.v,IF(ISTEXT(Y455),_xlfn.XLOOKUP(Y455,'JP-PINT'!A:A,'JP-PINT'!B:B),""),IF(ISERROR(_xlpm.v),"",_xlpm.v))</f>
        <v/>
      </c>
      <c r="AA455" s="23" t="s">
        <v>24</v>
      </c>
    </row>
    <row r="456" spans="1:27" s="6" customFormat="1" ht="12.75" customHeight="1">
      <c r="A456" s="4">
        <f>IF(ISTEXT(E456),_xlfn.XLOOKUP(E456,'[1]SME09-01_LHM'!$D:$D,'[1]SME09-01_LHM'!$B:$B))</f>
        <v>400</v>
      </c>
      <c r="B456" s="4">
        <f>_xlfn.XLOOKUP(F456,'[1]SME09-01_LHM'!$I:$I,'[1]SME09-01_LHM'!$B:$B)</f>
        <v>572</v>
      </c>
      <c r="C456" s="22">
        <f>ROW()-25</f>
        <v>431</v>
      </c>
      <c r="D456" s="16" t="s">
        <v>23</v>
      </c>
      <c r="E456" s="16" t="s">
        <v>552</v>
      </c>
      <c r="F456" s="18" t="s">
        <v>551</v>
      </c>
      <c r="G456" s="18" t="s">
        <v>550</v>
      </c>
      <c r="H456" s="16" t="s">
        <v>31</v>
      </c>
      <c r="I456" s="16" t="s">
        <v>74</v>
      </c>
      <c r="J456" s="188" t="s">
        <v>66</v>
      </c>
      <c r="K456" s="181" t="s">
        <v>66</v>
      </c>
      <c r="L456" s="242"/>
      <c r="M456" s="186"/>
      <c r="N456" s="181" t="s">
        <v>72</v>
      </c>
      <c r="O456" s="7"/>
      <c r="P456" s="105" t="s">
        <v>16</v>
      </c>
      <c r="Q456" s="105" t="s">
        <v>327</v>
      </c>
      <c r="R456" s="105" t="s">
        <v>10</v>
      </c>
      <c r="S456" s="104"/>
      <c r="T456" s="103" t="s">
        <v>103</v>
      </c>
      <c r="U456" s="103" t="s">
        <v>24</v>
      </c>
      <c r="V456" s="105" t="s">
        <v>24</v>
      </c>
      <c r="W456" s="3" t="s">
        <v>10</v>
      </c>
      <c r="X456" s="3"/>
      <c r="Y456" s="182" t="str">
        <f>_xlfn.LET(_xlpm.v,_xlfn.XLOOKUP(E456,'[1]SME09-01_LHM'!$D:$D,'[1]SME09-01_LHM'!$AL:$AL),IF(_xlpm.v=0,"",_xlpm.v))</f>
        <v>IBT-013</v>
      </c>
      <c r="Z456" s="104" t="str">
        <f>_xlfn.LET(_xlpm.v,IF(ISTEXT(Y456),_xlfn.XLOOKUP(Y456,'JP-PINT'!A:A,'JP-PINT'!B:B),""),IF(ISERROR(_xlpm.v),"",_xlpm.v))</f>
        <v>Purchase order reference</v>
      </c>
      <c r="AA456" s="16" t="s">
        <v>548</v>
      </c>
    </row>
    <row r="457" spans="1:27" s="6" customFormat="1" ht="12.75" customHeight="1">
      <c r="A457" s="4">
        <f>IF(ISTEXT(E457),_xlfn.XLOOKUP(E457,'[1]SME09-01_LHM'!$D:$D,'[1]SME09-01_LHM'!$B:$B))</f>
        <v>573</v>
      </c>
      <c r="B457" s="4">
        <f>_xlfn.XLOOKUP(F457,'[1]SME09-01_LHM'!$I:$I,'[1]SME09-01_LHM'!$B:$B)</f>
        <v>573</v>
      </c>
      <c r="C457" s="37">
        <f>ROW()-25</f>
        <v>432</v>
      </c>
      <c r="D457" s="35" t="s">
        <v>23</v>
      </c>
      <c r="E457" s="35" t="s">
        <v>547</v>
      </c>
      <c r="F457" s="37" t="s">
        <v>546</v>
      </c>
      <c r="G457" s="37" t="s">
        <v>545</v>
      </c>
      <c r="H457" s="35" t="s">
        <v>8</v>
      </c>
      <c r="I457" s="39" t="s">
        <v>227</v>
      </c>
      <c r="J457" s="38" t="s">
        <v>505</v>
      </c>
      <c r="K457" s="35" t="s">
        <v>505</v>
      </c>
      <c r="L457" s="242"/>
      <c r="M457" s="19"/>
      <c r="N457" s="35" t="s">
        <v>27</v>
      </c>
      <c r="O457" s="206"/>
      <c r="P457" s="148" t="s">
        <v>225</v>
      </c>
      <c r="Q457" s="148" t="s">
        <v>523</v>
      </c>
      <c r="R457" s="148" t="s">
        <v>10</v>
      </c>
      <c r="S457" s="148"/>
      <c r="T457" s="153"/>
      <c r="U457" s="153"/>
      <c r="V457" s="130"/>
      <c r="W457" s="3" t="s">
        <v>10</v>
      </c>
      <c r="X457" s="3"/>
      <c r="Y457" s="182" t="str">
        <f>_xlfn.LET(_xlpm.v,_xlfn.XLOOKUP(E457,'[1]SME09-01_LHM'!$D:$D,'[1]SME09-01_LHM'!$AL:$AL),IF(_xlpm.v=0,"",_xlpm.v))</f>
        <v/>
      </c>
      <c r="Z457" s="104" t="str">
        <f>_xlfn.LET(_xlpm.v,IF(ISTEXT(Y457),_xlfn.XLOOKUP(Y457,'JP-PINT'!A:A,'JP-PINT'!B:B),""),IF(ISERROR(_xlpm.v),"",_xlpm.v))</f>
        <v/>
      </c>
      <c r="AA457" s="35"/>
    </row>
    <row r="458" spans="1:27" s="45" customFormat="1" ht="12.75" customHeight="1">
      <c r="A458" s="4">
        <f>IF(ISTEXT(E458),_xlfn.XLOOKUP(E458,'[1]SME09-01_LHM'!$D:$D,'[1]SME09-01_LHM'!$B:$B))</f>
        <v>574</v>
      </c>
      <c r="B458" s="4">
        <f>_xlfn.XLOOKUP(F458,'[1]SME09-01_LHM'!$I:$I,'[1]SME09-01_LHM'!$B:$B)</f>
        <v>574</v>
      </c>
      <c r="C458" s="37">
        <f>ROW()-25</f>
        <v>433</v>
      </c>
      <c r="D458" s="35" t="s">
        <v>23</v>
      </c>
      <c r="E458" s="35" t="s">
        <v>544</v>
      </c>
      <c r="F458" s="37" t="s">
        <v>543</v>
      </c>
      <c r="G458" s="37" t="s">
        <v>542</v>
      </c>
      <c r="H458" s="35" t="s">
        <v>8</v>
      </c>
      <c r="I458" s="39" t="s">
        <v>127</v>
      </c>
      <c r="J458" s="197" t="s">
        <v>18</v>
      </c>
      <c r="K458" s="197" t="s">
        <v>18</v>
      </c>
      <c r="L458" s="242"/>
      <c r="M458" s="186"/>
      <c r="N458" s="35" t="s">
        <v>27</v>
      </c>
      <c r="O458" s="280"/>
      <c r="P458" s="148" t="s">
        <v>16</v>
      </c>
      <c r="Q458" s="148" t="s">
        <v>322</v>
      </c>
      <c r="R458" s="148" t="s">
        <v>10</v>
      </c>
      <c r="S458" s="130"/>
      <c r="T458" s="153"/>
      <c r="U458" s="153" t="s">
        <v>24</v>
      </c>
      <c r="V458" s="148" t="s">
        <v>24</v>
      </c>
      <c r="W458" s="203" t="s">
        <v>10</v>
      </c>
      <c r="X458" s="203"/>
      <c r="Y458" s="182" t="str">
        <f>_xlfn.LET(_xlpm.v,_xlfn.XLOOKUP(E458,'[1]SME09-01_LHM'!$D:$D,'[1]SME09-01_LHM'!$AL:$AL),IF(_xlpm.v=0,"",_xlpm.v))</f>
        <v/>
      </c>
      <c r="Z458" s="104" t="str">
        <f>_xlfn.LET(_xlpm.v,IF(ISTEXT(Y458),_xlfn.XLOOKUP(Y458,'JP-PINT'!A:A,'JP-PINT'!B:B),""),IF(ISERROR(_xlpm.v),"",_xlpm.v))</f>
        <v/>
      </c>
      <c r="AA458" s="35" t="s">
        <v>24</v>
      </c>
    </row>
    <row r="459" spans="1:27" s="281" customFormat="1" ht="12.75" customHeight="1">
      <c r="A459" s="4">
        <f>IF(ISTEXT(E459),_xlfn.XLOOKUP(E459,'[1]SME09-01_LHM'!$D:$D,'[1]SME09-01_LHM'!$B:$B))</f>
        <v>568</v>
      </c>
      <c r="B459" s="4">
        <f>_xlfn.XLOOKUP(F459,'[1]SME09-01_LHM'!$I:$I,'[1]SME09-01_LHM'!$B:$B)</f>
        <v>575</v>
      </c>
      <c r="C459" s="22">
        <f>ROW()-25</f>
        <v>434</v>
      </c>
      <c r="D459" s="16" t="s">
        <v>23</v>
      </c>
      <c r="E459" s="16" t="s">
        <v>541</v>
      </c>
      <c r="F459" s="18" t="s">
        <v>540</v>
      </c>
      <c r="G459" s="18" t="s">
        <v>539</v>
      </c>
      <c r="H459" s="16" t="s">
        <v>28</v>
      </c>
      <c r="I459" s="16" t="s">
        <v>74</v>
      </c>
      <c r="J459" s="75" t="s">
        <v>18</v>
      </c>
      <c r="K459" s="181" t="s">
        <v>18</v>
      </c>
      <c r="L459" s="242"/>
      <c r="M459" s="72"/>
      <c r="N459" s="181" t="s">
        <v>72</v>
      </c>
      <c r="O459" s="7"/>
      <c r="P459" s="105" t="s">
        <v>16</v>
      </c>
      <c r="Q459" s="105" t="s">
        <v>318</v>
      </c>
      <c r="R459" s="105" t="s">
        <v>10</v>
      </c>
      <c r="S459" s="104"/>
      <c r="T459" s="103" t="s">
        <v>103</v>
      </c>
      <c r="U459" s="103" t="s">
        <v>24</v>
      </c>
      <c r="V459" s="105" t="s">
        <v>24</v>
      </c>
      <c r="W459" s="3" t="s">
        <v>10</v>
      </c>
      <c r="X459" s="3"/>
      <c r="Y459" s="182" t="str">
        <f>_xlfn.LET(_xlpm.v,_xlfn.XLOOKUP(E459,'[1]SME09-01_LHM'!$D:$D,'[1]SME09-01_LHM'!$AL:$AL),IF(_xlpm.v=0,"",_xlpm.v))</f>
        <v/>
      </c>
      <c r="Z459" s="104" t="str">
        <f>_xlfn.LET(_xlpm.v,IF(ISTEXT(Y459),_xlfn.XLOOKUP(Y459,'JP-PINT'!A:A,'JP-PINT'!B:B),""),IF(ISERROR(_xlpm.v),"",_xlpm.v))</f>
        <v/>
      </c>
      <c r="AA459" s="16" t="s">
        <v>8</v>
      </c>
    </row>
    <row r="460" spans="1:27" s="6" customFormat="1" ht="12.75" customHeight="1">
      <c r="A460" s="4">
        <f>IF(ISTEXT(E460),_xlfn.XLOOKUP(E460,'[1]SME09-01_LHM'!$D:$D,'[1]SME09-01_LHM'!$B:$B))</f>
        <v>403</v>
      </c>
      <c r="B460" s="4">
        <f>_xlfn.XLOOKUP(F460,'[1]SME09-01_LHM'!$I:$I,'[1]SME09-01_LHM'!$B:$B)</f>
        <v>576</v>
      </c>
      <c r="C460" s="22">
        <f>ROW()-25</f>
        <v>435</v>
      </c>
      <c r="D460" s="16" t="s">
        <v>23</v>
      </c>
      <c r="E460" s="16" t="s">
        <v>537</v>
      </c>
      <c r="F460" s="18" t="s">
        <v>536</v>
      </c>
      <c r="G460" s="18" t="s">
        <v>535</v>
      </c>
      <c r="H460" s="16" t="s">
        <v>8</v>
      </c>
      <c r="I460" s="70" t="s">
        <v>143</v>
      </c>
      <c r="J460" s="74" t="s">
        <v>18</v>
      </c>
      <c r="K460" s="181" t="s">
        <v>18</v>
      </c>
      <c r="L460" s="242"/>
      <c r="M460" s="354"/>
      <c r="N460" s="23" t="s">
        <v>27</v>
      </c>
      <c r="O460" s="7"/>
      <c r="P460" s="105" t="s">
        <v>16</v>
      </c>
      <c r="Q460" s="105" t="s">
        <v>307</v>
      </c>
      <c r="R460" s="105" t="s">
        <v>10</v>
      </c>
      <c r="S460" s="198"/>
      <c r="T460" s="70" t="s">
        <v>24</v>
      </c>
      <c r="U460" s="70" t="s">
        <v>24</v>
      </c>
      <c r="V460" s="66" t="s">
        <v>24</v>
      </c>
      <c r="W460" s="3" t="s">
        <v>10</v>
      </c>
      <c r="X460" s="3"/>
      <c r="Y460" s="182" t="str">
        <f>_xlfn.LET(_xlpm.v,_xlfn.XLOOKUP(E460,'[1]SME09-01_LHM'!$D:$D,'[1]SME09-01_LHM'!$AL:$AL),IF(_xlpm.v=0,"",_xlpm.v))</f>
        <v/>
      </c>
      <c r="Z460" s="104" t="str">
        <f>_xlfn.LET(_xlpm.v,IF(ISTEXT(Y460),_xlfn.XLOOKUP(Y460,'JP-PINT'!A:A,'JP-PINT'!B:B),""),IF(ISERROR(_xlpm.v),"",_xlpm.v))</f>
        <v/>
      </c>
      <c r="AA460" s="23" t="s">
        <v>24</v>
      </c>
    </row>
    <row r="461" spans="1:27" s="6" customFormat="1" ht="12.75" customHeight="1">
      <c r="A461" s="4">
        <f>IF(ISTEXT(E461),_xlfn.XLOOKUP(E461,'[1]SME09-01_LHM'!$D:$D,'[1]SME09-01_LHM'!$B:$B))</f>
        <v>577</v>
      </c>
      <c r="B461" s="4">
        <f>_xlfn.XLOOKUP(F461,'[1]SME09-01_LHM'!$I:$I,'[1]SME09-01_LHM'!$B:$B)</f>
        <v>577</v>
      </c>
      <c r="C461" s="22">
        <f>ROW()-25</f>
        <v>436</v>
      </c>
      <c r="D461" s="26" t="s">
        <v>23</v>
      </c>
      <c r="E461" s="26" t="s">
        <v>534</v>
      </c>
      <c r="F461" s="93" t="s">
        <v>2780</v>
      </c>
      <c r="G461" s="25" t="s">
        <v>533</v>
      </c>
      <c r="H461" s="26" t="s">
        <v>28</v>
      </c>
      <c r="I461" s="26" t="s">
        <v>143</v>
      </c>
      <c r="J461" s="199" t="s">
        <v>66</v>
      </c>
      <c r="K461" s="199" t="s">
        <v>66</v>
      </c>
      <c r="L461" s="199" t="s">
        <v>66</v>
      </c>
      <c r="M461" s="190"/>
      <c r="N461" s="181" t="s">
        <v>46</v>
      </c>
      <c r="O461" s="7"/>
      <c r="P461" s="105" t="s">
        <v>16</v>
      </c>
      <c r="Q461" s="105" t="s">
        <v>532</v>
      </c>
      <c r="R461" s="105" t="s">
        <v>25</v>
      </c>
      <c r="S461" s="104"/>
      <c r="T461" s="103" t="s">
        <v>103</v>
      </c>
      <c r="U461" s="103" t="s">
        <v>24</v>
      </c>
      <c r="V461" s="105" t="s">
        <v>24</v>
      </c>
      <c r="W461" s="3" t="s">
        <v>25</v>
      </c>
      <c r="X461" s="3" t="s">
        <v>25</v>
      </c>
      <c r="Y461" s="182" t="str">
        <f>_xlfn.LET(_xlpm.v,_xlfn.XLOOKUP(E461,'[1]SME09-01_LHM'!$D:$D,'[1]SME09-01_LHM'!$AL:$AL),IF(_xlpm.v=0,"",_xlpm.v))</f>
        <v>IBG-36</v>
      </c>
      <c r="Z461" s="104" t="str">
        <f>_xlfn.LET(_xlpm.v,IF(ISTEXT(Y461),_xlfn.XLOOKUP(Y461,'JP-PINT'!A:A,'JP-PINT'!B:B),""),IF(ISERROR(_xlpm.v),"",_xlpm.v))</f>
        <v>&gt; LINE DOCUMENT REFERENCE</v>
      </c>
      <c r="AA461" s="23" t="s">
        <v>8</v>
      </c>
    </row>
    <row r="462" spans="1:27" s="6" customFormat="1" ht="12.75" customHeight="1">
      <c r="A462" s="4">
        <f>IF(ISTEXT(E462),_xlfn.XLOOKUP(E462,'[1]SME09-01_LHM'!$D:$D,'[1]SME09-01_LHM'!$B:$B))</f>
        <v>579</v>
      </c>
      <c r="B462" s="4">
        <f>_xlfn.XLOOKUP(F462,'[1]SME09-01_LHM'!$I:$I,'[1]SME09-01_LHM'!$B:$B)</f>
        <v>579</v>
      </c>
      <c r="C462" s="22">
        <f>ROW()-25</f>
        <v>437</v>
      </c>
      <c r="D462" s="16" t="s">
        <v>23</v>
      </c>
      <c r="E462" s="16" t="s">
        <v>530</v>
      </c>
      <c r="F462" s="18" t="s">
        <v>529</v>
      </c>
      <c r="G462" s="18" t="s">
        <v>528</v>
      </c>
      <c r="H462" s="16" t="s">
        <v>31</v>
      </c>
      <c r="I462" s="16" t="s">
        <v>143</v>
      </c>
      <c r="J462" s="21" t="s">
        <v>66</v>
      </c>
      <c r="K462" s="16" t="s">
        <v>66</v>
      </c>
      <c r="L462" s="16" t="s">
        <v>66</v>
      </c>
      <c r="M462" s="195" t="s">
        <v>73</v>
      </c>
      <c r="N462" s="181" t="s">
        <v>183</v>
      </c>
      <c r="O462" s="62"/>
      <c r="P462" s="105" t="s">
        <v>16</v>
      </c>
      <c r="Q462" s="105" t="s">
        <v>327</v>
      </c>
      <c r="R462" s="105" t="s">
        <v>10</v>
      </c>
      <c r="S462" s="104"/>
      <c r="T462" s="106" t="s">
        <v>103</v>
      </c>
      <c r="U462" s="106" t="s">
        <v>24</v>
      </c>
      <c r="V462" s="105" t="s">
        <v>24</v>
      </c>
      <c r="W462" s="3" t="s">
        <v>10</v>
      </c>
      <c r="X462" s="3" t="s">
        <v>10</v>
      </c>
      <c r="Y462" s="182" t="str">
        <f>_xlfn.LET(_xlpm.v,_xlfn.XLOOKUP(E462,'[1]SME09-01_LHM'!$D:$D,'[1]SME09-01_LHM'!$AL:$AL),IF(_xlpm.v=0,"",_xlpm.v))</f>
        <v>IBT-188</v>
      </c>
      <c r="Z462" s="104" t="str">
        <f>_xlfn.LET(_xlpm.v,IF(ISTEXT(Y462),_xlfn.XLOOKUP(Y462,'JP-PINT'!A:A,'JP-PINT'!B:B),""),IF(ISERROR(_xlpm.v),"",_xlpm.v))</f>
        <v>&gt;&gt; Invoice line document identifier</v>
      </c>
      <c r="AA462" s="23" t="s">
        <v>31</v>
      </c>
    </row>
    <row r="463" spans="1:27" s="6" customFormat="1" ht="12.75" customHeight="1">
      <c r="A463" s="4">
        <f>IF(ISTEXT(E463),_xlfn.XLOOKUP(E463,'[1]SME09-01_LHM'!$D:$D,'[1]SME09-01_LHM'!$B:$B))</f>
        <v>580</v>
      </c>
      <c r="B463" s="4">
        <f>_xlfn.XLOOKUP(F463,'[1]SME09-01_LHM'!$I:$I,'[1]SME09-01_LHM'!$B:$B)</f>
        <v>580</v>
      </c>
      <c r="C463" s="18">
        <f>ROW()-25</f>
        <v>438</v>
      </c>
      <c r="D463" s="16" t="s">
        <v>23</v>
      </c>
      <c r="E463" s="16" t="s">
        <v>526</v>
      </c>
      <c r="F463" s="18" t="s">
        <v>525</v>
      </c>
      <c r="G463" s="18" t="s">
        <v>524</v>
      </c>
      <c r="H463" s="16" t="s">
        <v>8</v>
      </c>
      <c r="I463" s="16" t="s">
        <v>143</v>
      </c>
      <c r="J463" s="21" t="s">
        <v>505</v>
      </c>
      <c r="K463" s="16" t="s">
        <v>505</v>
      </c>
      <c r="L463" s="16" t="s">
        <v>505</v>
      </c>
      <c r="M463" s="19"/>
      <c r="N463" s="16" t="s">
        <v>27</v>
      </c>
      <c r="O463" s="270"/>
      <c r="P463" s="105" t="s">
        <v>225</v>
      </c>
      <c r="Q463" s="105" t="s">
        <v>523</v>
      </c>
      <c r="R463" s="105" t="s">
        <v>10</v>
      </c>
      <c r="S463" s="105"/>
      <c r="T463" s="103"/>
      <c r="U463" s="103"/>
      <c r="V463" s="104"/>
      <c r="W463" s="3" t="s">
        <v>10</v>
      </c>
      <c r="X463" s="3" t="s">
        <v>10</v>
      </c>
      <c r="Y463" s="182" t="str">
        <f>_xlfn.LET(_xlpm.v,_xlfn.XLOOKUP(E463,'[1]SME09-01_LHM'!$D:$D,'[1]SME09-01_LHM'!$AL:$AL),IF(_xlpm.v=0,"",_xlpm.v))</f>
        <v/>
      </c>
      <c r="Z463" s="104" t="str">
        <f>_xlfn.LET(_xlpm.v,IF(ISTEXT(Y463),_xlfn.XLOOKUP(Y463,'JP-PINT'!A:A,'JP-PINT'!B:B),""),IF(ISERROR(_xlpm.v),"",_xlpm.v))</f>
        <v/>
      </c>
      <c r="AA463" s="16"/>
    </row>
    <row r="464" spans="1:27" s="6" customFormat="1" ht="12.75" customHeight="1">
      <c r="A464" s="4">
        <f>IF(ISTEXT(E464),_xlfn.XLOOKUP(E464,'[1]SME09-01_LHM'!$D:$D,'[1]SME09-01_LHM'!$B:$B))</f>
        <v>581</v>
      </c>
      <c r="B464" s="4">
        <f>_xlfn.XLOOKUP(F464,'[1]SME09-01_LHM'!$I:$I,'[1]SME09-01_LHM'!$B:$B)</f>
        <v>581</v>
      </c>
      <c r="C464" s="37">
        <f>ROW()-25</f>
        <v>439</v>
      </c>
      <c r="D464" s="35" t="s">
        <v>23</v>
      </c>
      <c r="E464" s="35" t="s">
        <v>522</v>
      </c>
      <c r="F464" s="37" t="s">
        <v>521</v>
      </c>
      <c r="G464" s="37" t="s">
        <v>520</v>
      </c>
      <c r="H464" s="35" t="s">
        <v>8</v>
      </c>
      <c r="I464" s="39" t="s">
        <v>127</v>
      </c>
      <c r="J464" s="197" t="s">
        <v>18</v>
      </c>
      <c r="K464" s="197" t="s">
        <v>18</v>
      </c>
      <c r="L464" s="38" t="s">
        <v>505</v>
      </c>
      <c r="M464" s="195" t="s">
        <v>73</v>
      </c>
      <c r="N464" s="35" t="s">
        <v>27</v>
      </c>
      <c r="O464" s="280"/>
      <c r="P464" s="148" t="s">
        <v>16</v>
      </c>
      <c r="Q464" s="148" t="s">
        <v>322</v>
      </c>
      <c r="R464" s="148" t="s">
        <v>10</v>
      </c>
      <c r="S464" s="130"/>
      <c r="T464" s="153"/>
      <c r="U464" s="153" t="s">
        <v>24</v>
      </c>
      <c r="V464" s="148" t="s">
        <v>24</v>
      </c>
      <c r="W464" s="203" t="s">
        <v>10</v>
      </c>
      <c r="X464" s="203" t="s">
        <v>10</v>
      </c>
      <c r="Y464" s="182" t="str">
        <f>_xlfn.LET(_xlpm.v,_xlfn.XLOOKUP(E464,'[1]SME09-01_LHM'!$D:$D,'[1]SME09-01_LHM'!$AL:$AL),IF(_xlpm.v=0,"",_xlpm.v))</f>
        <v/>
      </c>
      <c r="Z464" s="104" t="str">
        <f>_xlfn.LET(_xlpm.v,IF(ISTEXT(Y464),_xlfn.XLOOKUP(Y464,'JP-PINT'!A:A,'JP-PINT'!B:B),""),IF(ISERROR(_xlpm.v),"",_xlpm.v))</f>
        <v/>
      </c>
      <c r="AA464" s="35" t="s">
        <v>24</v>
      </c>
    </row>
    <row r="465" spans="1:27" s="281" customFormat="1" ht="12.75" customHeight="1">
      <c r="A465" s="4">
        <f>IF(ISTEXT(E465),_xlfn.XLOOKUP(E465,'[1]SME09-01_LHM'!$D:$D,'[1]SME09-01_LHM'!$B:$B))</f>
        <v>582</v>
      </c>
      <c r="B465" s="4">
        <f>_xlfn.XLOOKUP(F465,'[1]SME09-01_LHM'!$I:$I,'[1]SME09-01_LHM'!$B:$B)</f>
        <v>582</v>
      </c>
      <c r="C465" s="18">
        <f>ROW()-25</f>
        <v>440</v>
      </c>
      <c r="D465" s="16" t="s">
        <v>23</v>
      </c>
      <c r="E465" s="16" t="s">
        <v>519</v>
      </c>
      <c r="F465" s="18" t="s">
        <v>518</v>
      </c>
      <c r="G465" s="18" t="s">
        <v>517</v>
      </c>
      <c r="H465" s="16" t="s">
        <v>28</v>
      </c>
      <c r="I465" s="16" t="s">
        <v>143</v>
      </c>
      <c r="J465" s="21" t="s">
        <v>18</v>
      </c>
      <c r="K465" s="16" t="s">
        <v>18</v>
      </c>
      <c r="L465" s="21" t="s">
        <v>18</v>
      </c>
      <c r="M465" s="19"/>
      <c r="N465" s="16" t="s">
        <v>27</v>
      </c>
      <c r="O465" s="7"/>
      <c r="P465" s="105" t="s">
        <v>16</v>
      </c>
      <c r="Q465" s="105" t="s">
        <v>318</v>
      </c>
      <c r="R465" s="105" t="s">
        <v>10</v>
      </c>
      <c r="S465" s="104"/>
      <c r="T465" s="103" t="s">
        <v>103</v>
      </c>
      <c r="U465" s="103" t="s">
        <v>24</v>
      </c>
      <c r="V465" s="105" t="s">
        <v>24</v>
      </c>
      <c r="W465" s="3" t="s">
        <v>10</v>
      </c>
      <c r="X465" s="3" t="s">
        <v>10</v>
      </c>
      <c r="Y465" s="182" t="str">
        <f>_xlfn.LET(_xlpm.v,_xlfn.XLOOKUP(E465,'[1]SME09-01_LHM'!$D:$D,'[1]SME09-01_LHM'!$AL:$AL),IF(_xlpm.v=0,"",_xlpm.v))</f>
        <v/>
      </c>
      <c r="Z465" s="104" t="str">
        <f>_xlfn.LET(_xlpm.v,IF(ISTEXT(Y465),_xlfn.XLOOKUP(Y465,'JP-PINT'!A:A,'JP-PINT'!B:B),""),IF(ISERROR(_xlpm.v),"",_xlpm.v))</f>
        <v/>
      </c>
      <c r="AA465" s="16" t="s">
        <v>24</v>
      </c>
    </row>
    <row r="466" spans="1:27" s="6" customFormat="1" ht="12.75" customHeight="1">
      <c r="A466" s="4">
        <f>IF(ISTEXT(E466),_xlfn.XLOOKUP(E466,'[1]SME09-01_LHM'!$D:$D,'[1]SME09-01_LHM'!$B:$B))</f>
        <v>583</v>
      </c>
      <c r="B466" s="4">
        <f>_xlfn.XLOOKUP(F466,'[1]SME09-01_LHM'!$I:$I,'[1]SME09-01_LHM'!$B:$B)</f>
        <v>583</v>
      </c>
      <c r="C466" s="18">
        <f>ROW()-25</f>
        <v>441</v>
      </c>
      <c r="D466" s="16" t="s">
        <v>23</v>
      </c>
      <c r="E466" s="16" t="s">
        <v>516</v>
      </c>
      <c r="F466" s="18" t="s">
        <v>316</v>
      </c>
      <c r="G466" s="18" t="s">
        <v>315</v>
      </c>
      <c r="H466" s="16" t="s">
        <v>8</v>
      </c>
      <c r="I466" s="16" t="s">
        <v>19</v>
      </c>
      <c r="J466" s="21" t="s">
        <v>18</v>
      </c>
      <c r="K466" s="16" t="s">
        <v>18</v>
      </c>
      <c r="L466" s="16" t="s">
        <v>18</v>
      </c>
      <c r="M466" s="19"/>
      <c r="N466" s="16" t="s">
        <v>27</v>
      </c>
      <c r="O466" s="62"/>
      <c r="P466" s="105" t="s">
        <v>16</v>
      </c>
      <c r="Q466" s="105" t="s">
        <v>314</v>
      </c>
      <c r="R466" s="105" t="s">
        <v>10</v>
      </c>
      <c r="S466" s="104" t="s">
        <v>313</v>
      </c>
      <c r="T466" s="103" t="s">
        <v>158</v>
      </c>
      <c r="U466" s="103" t="s">
        <v>24</v>
      </c>
      <c r="V466" s="105" t="s">
        <v>24</v>
      </c>
      <c r="W466" s="3" t="s">
        <v>10</v>
      </c>
      <c r="X466" s="3" t="s">
        <v>10</v>
      </c>
      <c r="Y466" s="182" t="str">
        <f>_xlfn.LET(_xlpm.v,_xlfn.XLOOKUP(E466,'[1]SME09-01_LHM'!$D:$D,'[1]SME09-01_LHM'!$AL:$AL),IF(_xlpm.v=0,"",_xlpm.v))</f>
        <v/>
      </c>
      <c r="Z466" s="104" t="str">
        <f>_xlfn.LET(_xlpm.v,IF(ISTEXT(Y466),_xlfn.XLOOKUP(Y466,'JP-PINT'!A:A,'JP-PINT'!B:B),""),IF(ISERROR(_xlpm.v),"",_xlpm.v))</f>
        <v/>
      </c>
      <c r="AA466" s="16" t="s">
        <v>24</v>
      </c>
    </row>
    <row r="467" spans="1:27" s="6" customFormat="1" ht="12.75" customHeight="1">
      <c r="A467" s="4">
        <f>IF(ISTEXT(E467),_xlfn.XLOOKUP(E467,'[1]SME09-01_LHM'!$D:$D,'[1]SME09-01_LHM'!$B:$B))</f>
        <v>584</v>
      </c>
      <c r="B467" s="4">
        <f>_xlfn.XLOOKUP(F467,'[1]SME09-01_LHM'!$I:$I,'[1]SME09-01_LHM'!$B:$B)</f>
        <v>584</v>
      </c>
      <c r="C467" s="18">
        <f>ROW()-25</f>
        <v>442</v>
      </c>
      <c r="D467" s="16" t="s">
        <v>23</v>
      </c>
      <c r="E467" s="16" t="s">
        <v>515</v>
      </c>
      <c r="F467" s="18" t="s">
        <v>514</v>
      </c>
      <c r="G467" s="18" t="s">
        <v>513</v>
      </c>
      <c r="H467" s="16" t="s">
        <v>8</v>
      </c>
      <c r="I467" s="70" t="s">
        <v>143</v>
      </c>
      <c r="J467" s="21" t="s">
        <v>18</v>
      </c>
      <c r="K467" s="16" t="s">
        <v>18</v>
      </c>
      <c r="L467" s="16" t="s">
        <v>18</v>
      </c>
      <c r="M467" s="19"/>
      <c r="N467" s="16" t="s">
        <v>27</v>
      </c>
      <c r="O467" s="62"/>
      <c r="P467" s="105" t="s">
        <v>16</v>
      </c>
      <c r="Q467" s="105" t="s">
        <v>307</v>
      </c>
      <c r="R467" s="105" t="s">
        <v>10</v>
      </c>
      <c r="S467" s="198"/>
      <c r="T467" s="71" t="s">
        <v>24</v>
      </c>
      <c r="U467" s="71" t="s">
        <v>24</v>
      </c>
      <c r="V467" s="66" t="s">
        <v>24</v>
      </c>
      <c r="W467" s="3" t="s">
        <v>10</v>
      </c>
      <c r="X467" s="3" t="s">
        <v>10</v>
      </c>
      <c r="Y467" s="182" t="str">
        <f>_xlfn.LET(_xlpm.v,_xlfn.XLOOKUP(E467,'[1]SME09-01_LHM'!$D:$D,'[1]SME09-01_LHM'!$AL:$AL),IF(_xlpm.v=0,"",_xlpm.v))</f>
        <v/>
      </c>
      <c r="Z467" s="104" t="str">
        <f>_xlfn.LET(_xlpm.v,IF(ISTEXT(Y467),_xlfn.XLOOKUP(Y467,'JP-PINT'!A:A,'JP-PINT'!B:B),""),IF(ISERROR(_xlpm.v),"",_xlpm.v))</f>
        <v/>
      </c>
      <c r="AA467" s="16" t="s">
        <v>24</v>
      </c>
    </row>
    <row r="468" spans="1:27" s="6" customFormat="1" ht="12.75" customHeight="1">
      <c r="A468" s="4">
        <f>IF(ISTEXT(E468),_xlfn.XLOOKUP(E468,'[1]SME09-01_LHM'!$D:$D,'[1]SME09-01_LHM'!$B:$B))</f>
        <v>585</v>
      </c>
      <c r="B468" s="4">
        <f>_xlfn.XLOOKUP(F468,'[1]SME09-01_LHM'!$I:$I,'[1]SME09-01_LHM'!$B:$B)</f>
        <v>585</v>
      </c>
      <c r="C468" s="37">
        <f>ROW()-25</f>
        <v>443</v>
      </c>
      <c r="D468" s="35" t="s">
        <v>23</v>
      </c>
      <c r="E468" s="35" t="s">
        <v>512</v>
      </c>
      <c r="F468" s="37" t="s">
        <v>511</v>
      </c>
      <c r="G468" s="37" t="s">
        <v>510</v>
      </c>
      <c r="H468" s="277" t="s">
        <v>8</v>
      </c>
      <c r="I468" s="39" t="s">
        <v>227</v>
      </c>
      <c r="J468" s="38" t="s">
        <v>18</v>
      </c>
      <c r="K468" s="35" t="s">
        <v>18</v>
      </c>
      <c r="L468" s="35" t="s">
        <v>18</v>
      </c>
      <c r="M468" s="19"/>
      <c r="N468" s="35" t="s">
        <v>24</v>
      </c>
      <c r="O468" s="63"/>
      <c r="P468" s="148" t="s">
        <v>16</v>
      </c>
      <c r="Q468" s="148" t="s">
        <v>509</v>
      </c>
      <c r="R468" s="148" t="s">
        <v>10</v>
      </c>
      <c r="S468" s="277"/>
      <c r="T468" s="277"/>
      <c r="U468" s="163"/>
      <c r="V468" s="148"/>
      <c r="W468" s="7" t="s">
        <v>10</v>
      </c>
      <c r="X468" s="7" t="s">
        <v>10</v>
      </c>
      <c r="Y468" s="182" t="str">
        <f>_xlfn.LET(_xlpm.v,_xlfn.XLOOKUP(E468,'[1]SME09-01_LHM'!$D:$D,'[1]SME09-01_LHM'!$AL:$AL),IF(_xlpm.v=0,"",_xlpm.v))</f>
        <v/>
      </c>
      <c r="Z468" s="104" t="str">
        <f>_xlfn.LET(_xlpm.v,IF(ISTEXT(Y468),_xlfn.XLOOKUP(Y468,'JP-PINT'!A:A,'JP-PINT'!B:B),""),IF(ISERROR(_xlpm.v),"",_xlpm.v))</f>
        <v/>
      </c>
      <c r="AA468" s="37"/>
    </row>
    <row r="469" spans="1:27" s="45" customFormat="1" ht="12.75" customHeight="1">
      <c r="A469" s="4">
        <f>IF(ISTEXT(E469),_xlfn.XLOOKUP(E469,'[1]SME09-01_LHM'!$D:$D,'[1]SME09-01_LHM'!$B:$B))</f>
        <v>586</v>
      </c>
      <c r="B469" s="4">
        <f>_xlfn.XLOOKUP(F469,'[1]SME09-01_LHM'!$I:$I,'[1]SME09-01_LHM'!$B:$B)</f>
        <v>586</v>
      </c>
      <c r="C469" s="18">
        <f>ROW()-25</f>
        <v>444</v>
      </c>
      <c r="D469" s="16" t="s">
        <v>23</v>
      </c>
      <c r="E469" s="16" t="s">
        <v>508</v>
      </c>
      <c r="F469" s="18" t="s">
        <v>507</v>
      </c>
      <c r="G469" s="18" t="s">
        <v>506</v>
      </c>
      <c r="H469" s="16" t="s">
        <v>251</v>
      </c>
      <c r="I469" s="355" t="s">
        <v>227</v>
      </c>
      <c r="J469" s="21" t="s">
        <v>505</v>
      </c>
      <c r="K469" s="21" t="s">
        <v>505</v>
      </c>
      <c r="L469" s="16" t="s">
        <v>505</v>
      </c>
      <c r="M469" s="19"/>
      <c r="N469" s="356" t="s">
        <v>27</v>
      </c>
      <c r="O469" s="62"/>
      <c r="P469" s="105" t="s">
        <v>225</v>
      </c>
      <c r="Q469" s="105" t="s">
        <v>504</v>
      </c>
      <c r="R469" s="105" t="s">
        <v>10</v>
      </c>
      <c r="S469" s="105"/>
      <c r="T469" s="106"/>
      <c r="U469" s="70"/>
      <c r="V469" s="164"/>
      <c r="W469" s="56" t="s">
        <v>10</v>
      </c>
      <c r="X469" s="55" t="s">
        <v>10</v>
      </c>
      <c r="Y469" s="182" t="str">
        <f>_xlfn.LET(_xlpm.v,_xlfn.XLOOKUP(E469,'[1]SME09-01_LHM'!$D:$D,'[1]SME09-01_LHM'!$AL:$AL),IF(_xlpm.v=0,"",_xlpm.v))</f>
        <v/>
      </c>
      <c r="Z469" s="104" t="str">
        <f>_xlfn.LET(_xlpm.v,IF(ISTEXT(Y469),_xlfn.XLOOKUP(Y469,'JP-PINT'!A:A,'JP-PINT'!B:B),""),IF(ISERROR(_xlpm.v),"",_xlpm.v))</f>
        <v/>
      </c>
      <c r="AA469" s="8"/>
    </row>
    <row r="470" spans="1:27" s="6" customFormat="1" ht="12.75" customHeight="1">
      <c r="A470" s="4">
        <f>IF(ISTEXT(E470),_xlfn.XLOOKUP(E470,'[1]SME09-01_LHM'!$D:$D,'[1]SME09-01_LHM'!$B:$B))</f>
        <v>587</v>
      </c>
      <c r="B470" s="4">
        <f>_xlfn.XLOOKUP(F470,'[1]SME09-01_LHM'!$I:$I,'[1]SME09-01_LHM'!$B:$B)</f>
        <v>587</v>
      </c>
      <c r="C470" s="22">
        <f>ROW()-25</f>
        <v>445</v>
      </c>
      <c r="D470" s="16" t="s">
        <v>23</v>
      </c>
      <c r="E470" s="16" t="s">
        <v>503</v>
      </c>
      <c r="F470" s="18" t="s">
        <v>305</v>
      </c>
      <c r="G470" s="18" t="s">
        <v>502</v>
      </c>
      <c r="H470" s="16" t="s">
        <v>8</v>
      </c>
      <c r="I470" s="16" t="s">
        <v>143</v>
      </c>
      <c r="J470" s="21" t="s">
        <v>66</v>
      </c>
      <c r="K470" s="21" t="s">
        <v>66</v>
      </c>
      <c r="L470" s="21" t="s">
        <v>66</v>
      </c>
      <c r="M470" s="19"/>
      <c r="N470" s="181" t="s">
        <v>17</v>
      </c>
      <c r="O470" s="62"/>
      <c r="P470" s="105" t="s">
        <v>16</v>
      </c>
      <c r="Q470" s="105" t="s">
        <v>303</v>
      </c>
      <c r="R470" s="105" t="s">
        <v>10</v>
      </c>
      <c r="S470" s="104" t="s">
        <v>302</v>
      </c>
      <c r="T470" s="103" t="s">
        <v>158</v>
      </c>
      <c r="U470" s="106" t="s">
        <v>501</v>
      </c>
      <c r="V470" s="105" t="s">
        <v>311</v>
      </c>
      <c r="W470" s="3" t="s">
        <v>10</v>
      </c>
      <c r="X470" s="3" t="s">
        <v>10</v>
      </c>
      <c r="Y470" s="182" t="str">
        <f>_xlfn.LET(_xlpm.v,_xlfn.XLOOKUP(E470,'[1]SME09-01_LHM'!$D:$D,'[1]SME09-01_LHM'!$AL:$AL),IF(_xlpm.v=0,"",_xlpm.v))</f>
        <v>IBT-189</v>
      </c>
      <c r="Z470" s="104" t="str">
        <f>_xlfn.LET(_xlpm.v,IF(ISTEXT(Y470),_xlfn.XLOOKUP(Y470,'JP-PINT'!A:A,'JP-PINT'!B:B),""),IF(ISERROR(_xlpm.v),"",_xlpm.v))</f>
        <v>&gt;&gt; Document type code</v>
      </c>
      <c r="AA470" s="23" t="s">
        <v>8</v>
      </c>
    </row>
    <row r="471" spans="1:27" s="357" customFormat="1" ht="12.75" customHeight="1">
      <c r="A471" s="4">
        <f>IF(ISTEXT(E471),_xlfn.XLOOKUP(E471,'[1]SME09-01_LHM'!$D:$D,'[1]SME09-01_LHM'!$B:$B))</f>
        <v>588</v>
      </c>
      <c r="B471" s="4">
        <f>_xlfn.XLOOKUP(F471,'[1]SME09-01_LHM'!$I:$I,'[1]SME09-01_LHM'!$B:$B)</f>
        <v>588</v>
      </c>
      <c r="C471" s="114">
        <f>ROW()-25</f>
        <v>446</v>
      </c>
      <c r="D471" s="113" t="s">
        <v>23</v>
      </c>
      <c r="E471" s="113" t="s">
        <v>499</v>
      </c>
      <c r="F471" s="123" t="s">
        <v>498</v>
      </c>
      <c r="G471" s="123" t="s">
        <v>497</v>
      </c>
      <c r="H471" s="113" t="s">
        <v>8</v>
      </c>
      <c r="I471" s="113" t="s">
        <v>143</v>
      </c>
      <c r="J471" s="327" t="s">
        <v>18</v>
      </c>
      <c r="K471" s="328" t="s">
        <v>18</v>
      </c>
      <c r="L471" s="328" t="s">
        <v>18</v>
      </c>
      <c r="M471" s="330"/>
      <c r="N471" s="121" t="s">
        <v>27</v>
      </c>
      <c r="O471" s="115"/>
      <c r="P471" s="161" t="s">
        <v>16</v>
      </c>
      <c r="Q471" s="161" t="s">
        <v>496</v>
      </c>
      <c r="R471" s="161" t="s">
        <v>10</v>
      </c>
      <c r="S471" s="132"/>
      <c r="T471" s="162"/>
      <c r="U471" s="162" t="s">
        <v>24</v>
      </c>
      <c r="V471" s="161" t="s">
        <v>24</v>
      </c>
      <c r="W471" s="112" t="s">
        <v>10</v>
      </c>
      <c r="X471" s="112" t="s">
        <v>10</v>
      </c>
      <c r="Y471" s="182" t="str">
        <f>_xlfn.LET(_xlpm.v,_xlfn.XLOOKUP(E471,'[1]SME09-01_LHM'!$D:$D,'[1]SME09-01_LHM'!$AL:$AL),IF(_xlpm.v=0,"",_xlpm.v))</f>
        <v/>
      </c>
      <c r="Z471" s="104" t="str">
        <f>_xlfn.LET(_xlpm.v,IF(ISTEXT(Y471),_xlfn.XLOOKUP(Y471,'JP-PINT'!A:A,'JP-PINT'!B:B),""),IF(ISERROR(_xlpm.v),"",_xlpm.v))</f>
        <v/>
      </c>
      <c r="AA471" s="121" t="s">
        <v>24</v>
      </c>
    </row>
    <row r="472" spans="1:27" s="45" customFormat="1" ht="12.75" customHeight="1">
      <c r="A472" s="4">
        <f>IF(ISTEXT(E472),_xlfn.XLOOKUP(E472,'[1]SME09-01_LHM'!$D:$D,'[1]SME09-01_LHM'!$B:$B))</f>
        <v>596</v>
      </c>
      <c r="B472" s="4">
        <f>_xlfn.XLOOKUP(F472,'[1]SME09-01_LHM'!$I:$I,'[1]SME09-01_LHM'!$B:$B)</f>
        <v>596</v>
      </c>
      <c r="C472" s="22">
        <f>ROW()-25</f>
        <v>447</v>
      </c>
      <c r="D472" s="16" t="s">
        <v>23</v>
      </c>
      <c r="E472" s="16" t="s">
        <v>495</v>
      </c>
      <c r="F472" s="18" t="s">
        <v>300</v>
      </c>
      <c r="G472" s="18" t="s">
        <v>494</v>
      </c>
      <c r="H472" s="16" t="s">
        <v>8</v>
      </c>
      <c r="I472" s="16" t="s">
        <v>143</v>
      </c>
      <c r="J472" s="188" t="s">
        <v>18</v>
      </c>
      <c r="K472" s="181" t="s">
        <v>18</v>
      </c>
      <c r="L472" s="181" t="s">
        <v>18</v>
      </c>
      <c r="M472" s="195" t="s">
        <v>73</v>
      </c>
      <c r="N472" s="23" t="s">
        <v>27</v>
      </c>
      <c r="O472" s="7"/>
      <c r="P472" s="105" t="s">
        <v>16</v>
      </c>
      <c r="Q472" s="102" t="s">
        <v>298</v>
      </c>
      <c r="R472" s="105" t="s">
        <v>10</v>
      </c>
      <c r="S472" s="104" t="s">
        <v>64</v>
      </c>
      <c r="T472" s="106" t="s">
        <v>63</v>
      </c>
      <c r="U472" s="106" t="s">
        <v>24</v>
      </c>
      <c r="V472" s="105" t="s">
        <v>24</v>
      </c>
      <c r="W472" s="3" t="s">
        <v>10</v>
      </c>
      <c r="X472" s="3" t="s">
        <v>10</v>
      </c>
      <c r="Y472" s="182" t="str">
        <f>_xlfn.LET(_xlpm.v,_xlfn.XLOOKUP(E472,'[1]SME09-01_LHM'!$D:$D,'[1]SME09-01_LHM'!$AL:$AL),IF(_xlpm.v=0,"",_xlpm.v))</f>
        <v/>
      </c>
      <c r="Z472" s="104" t="str">
        <f>_xlfn.LET(_xlpm.v,IF(ISTEXT(Y472),_xlfn.XLOOKUP(Y472,'JP-PINT'!A:A,'JP-PINT'!B:B),""),IF(ISERROR(_xlpm.v),"",_xlpm.v))</f>
        <v/>
      </c>
      <c r="AA472" s="23" t="s">
        <v>24</v>
      </c>
    </row>
    <row r="473" spans="1:27" s="6" customFormat="1" ht="12.75" customHeight="1">
      <c r="A473" s="4">
        <f>IF(ISTEXT(E473),_xlfn.XLOOKUP(E473,'[1]SME09-01_LHM'!$D:$D,'[1]SME09-01_LHM'!$B:$B))</f>
        <v>597</v>
      </c>
      <c r="B473" s="4">
        <f>_xlfn.XLOOKUP(F473,'[1]SME09-01_LHM'!$I:$I,'[1]SME09-01_LHM'!$B:$B)</f>
        <v>597</v>
      </c>
      <c r="C473" s="22">
        <f>ROW()-25</f>
        <v>448</v>
      </c>
      <c r="D473" s="26" t="s">
        <v>23</v>
      </c>
      <c r="E473" s="26" t="s">
        <v>493</v>
      </c>
      <c r="F473" s="93" t="s">
        <v>2781</v>
      </c>
      <c r="G473" s="25" t="s">
        <v>492</v>
      </c>
      <c r="H473" s="26" t="s">
        <v>31</v>
      </c>
      <c r="I473" s="26" t="s">
        <v>74</v>
      </c>
      <c r="J473" s="201" t="s">
        <v>79</v>
      </c>
      <c r="K473" s="199" t="s">
        <v>79</v>
      </c>
      <c r="L473" s="199" t="s">
        <v>79</v>
      </c>
      <c r="M473" s="189"/>
      <c r="N473" s="181" t="s">
        <v>491</v>
      </c>
      <c r="O473" s="7"/>
      <c r="P473" s="105" t="s">
        <v>16</v>
      </c>
      <c r="Q473" s="105" t="s">
        <v>490</v>
      </c>
      <c r="R473" s="105" t="s">
        <v>25</v>
      </c>
      <c r="S473" s="104"/>
      <c r="T473" s="106" t="s">
        <v>103</v>
      </c>
      <c r="U473" s="106" t="s">
        <v>24</v>
      </c>
      <c r="V473" s="105" t="s">
        <v>24</v>
      </c>
      <c r="W473" s="3" t="s">
        <v>25</v>
      </c>
      <c r="X473" s="3" t="s">
        <v>25</v>
      </c>
      <c r="Y473" s="182" t="str">
        <f>_xlfn.LET(_xlpm.v,_xlfn.XLOOKUP(E473,'[1]SME09-01_LHM'!$D:$D,'[1]SME09-01_LHM'!$AL:$AL),IF(_xlpm.v=0,"",_xlpm.v))</f>
        <v>IBG-29</v>
      </c>
      <c r="Z473" s="104" t="str">
        <f>_xlfn.LET(_xlpm.v,IF(ISTEXT(Y473),_xlfn.XLOOKUP(Y473,'JP-PINT'!A:A,'JP-PINT'!B:B),""),IF(ISERROR(_xlpm.v),"",_xlpm.v))</f>
        <v>&gt; PRICE DETAILS</v>
      </c>
      <c r="AA473" s="16" t="s">
        <v>31</v>
      </c>
    </row>
    <row r="474" spans="1:27" s="6" customFormat="1" ht="12.75" customHeight="1">
      <c r="A474" s="4">
        <f>IF(ISTEXT(E474),_xlfn.XLOOKUP(E474,'[1]SME09-01_LHM'!$D:$D,'[1]SME09-01_LHM'!$B:$B))</f>
        <v>599</v>
      </c>
      <c r="B474" s="4">
        <f>_xlfn.XLOOKUP(F474,'[1]SME09-01_LHM'!$I:$I,'[1]SME09-01_LHM'!$B:$B)</f>
        <v>599</v>
      </c>
      <c r="C474" s="22">
        <f>ROW()-25</f>
        <v>449</v>
      </c>
      <c r="D474" s="16" t="s">
        <v>23</v>
      </c>
      <c r="E474" s="16" t="s">
        <v>488</v>
      </c>
      <c r="F474" s="18" t="s">
        <v>487</v>
      </c>
      <c r="G474" s="18" t="s">
        <v>486</v>
      </c>
      <c r="H474" s="16" t="s">
        <v>8</v>
      </c>
      <c r="I474" s="16" t="s">
        <v>74</v>
      </c>
      <c r="J474" s="188" t="s">
        <v>485</v>
      </c>
      <c r="K474" s="181" t="s">
        <v>18</v>
      </c>
      <c r="L474" s="181" t="s">
        <v>18</v>
      </c>
      <c r="M474" s="186"/>
      <c r="N474" s="23" t="s">
        <v>27</v>
      </c>
      <c r="O474" s="7"/>
      <c r="P474" s="105" t="s">
        <v>16</v>
      </c>
      <c r="Q474" s="105" t="s">
        <v>484</v>
      </c>
      <c r="R474" s="105" t="s">
        <v>10</v>
      </c>
      <c r="S474" s="104" t="s">
        <v>483</v>
      </c>
      <c r="T474" s="106" t="s">
        <v>158</v>
      </c>
      <c r="U474" s="106" t="s">
        <v>24</v>
      </c>
      <c r="V474" s="105" t="s">
        <v>24</v>
      </c>
      <c r="W474" s="3" t="s">
        <v>10</v>
      </c>
      <c r="X474" s="3" t="s">
        <v>10</v>
      </c>
      <c r="Y474" s="182" t="str">
        <f>_xlfn.LET(_xlpm.v,_xlfn.XLOOKUP(E474,'[1]SME09-01_LHM'!$D:$D,'[1]SME09-01_LHM'!$AL:$AL),IF(_xlpm.v=0,"",_xlpm.v))</f>
        <v/>
      </c>
      <c r="Z474" s="104" t="str">
        <f>_xlfn.LET(_xlpm.v,IF(ISTEXT(Y474),_xlfn.XLOOKUP(Y474,'JP-PINT'!A:A,'JP-PINT'!B:B),""),IF(ISERROR(_xlpm.v),"",_xlpm.v))</f>
        <v/>
      </c>
      <c r="AA474" s="23" t="s">
        <v>24</v>
      </c>
    </row>
    <row r="475" spans="1:27" ht="12.75" customHeight="1">
      <c r="A475" s="4">
        <f>IF(ISTEXT(E475),_xlfn.XLOOKUP(E475,'[1]SME09-01_LHM'!$D:$D,'[1]SME09-01_LHM'!$B:$B))</f>
        <v>600</v>
      </c>
      <c r="B475" s="4">
        <f>_xlfn.XLOOKUP(F475,'[1]SME09-01_LHM'!$I:$I,'[1]SME09-01_LHM'!$B:$B)</f>
        <v>600</v>
      </c>
      <c r="C475" s="22">
        <f>ROW()-25</f>
        <v>450</v>
      </c>
      <c r="D475" s="16" t="s">
        <v>23</v>
      </c>
      <c r="E475" s="16" t="s">
        <v>482</v>
      </c>
      <c r="F475" s="18" t="s">
        <v>481</v>
      </c>
      <c r="G475" s="18" t="s">
        <v>480</v>
      </c>
      <c r="H475" s="16" t="s">
        <v>31</v>
      </c>
      <c r="I475" s="16" t="s">
        <v>479</v>
      </c>
      <c r="J475" s="188" t="s">
        <v>79</v>
      </c>
      <c r="K475" s="181" t="s">
        <v>79</v>
      </c>
      <c r="L475" s="181" t="s">
        <v>79</v>
      </c>
      <c r="M475" s="186"/>
      <c r="N475" s="181" t="s">
        <v>443</v>
      </c>
      <c r="O475" s="202" t="s">
        <v>79</v>
      </c>
      <c r="P475" s="105" t="s">
        <v>16</v>
      </c>
      <c r="Q475" s="104" t="s">
        <v>478</v>
      </c>
      <c r="R475" s="105" t="s">
        <v>10</v>
      </c>
      <c r="S475" s="104"/>
      <c r="T475" s="106"/>
      <c r="U475" s="106"/>
      <c r="V475" s="105"/>
      <c r="W475" s="203" t="s">
        <v>10</v>
      </c>
      <c r="X475" s="203" t="s">
        <v>10</v>
      </c>
      <c r="Y475" s="182" t="str">
        <f>_xlfn.LET(_xlpm.v,_xlfn.XLOOKUP(E475,'[1]SME09-01_LHM'!$D:$D,'[1]SME09-01_LHM'!$AL:$AL),IF(_xlpm.v=0,"",_xlpm.v))</f>
        <v>IBT-146</v>
      </c>
      <c r="Z475" s="104" t="str">
        <f>_xlfn.LET(_xlpm.v,IF(ISTEXT(Y475),_xlfn.XLOOKUP(Y475,'JP-PINT'!A:A,'JP-PINT'!B:B),""),IF(ISERROR(_xlpm.v),"",_xlpm.v))</f>
        <v>&gt;&gt; Item net price</v>
      </c>
      <c r="AA475" s="204" t="s">
        <v>31</v>
      </c>
    </row>
    <row r="476" spans="1:27" s="205" customFormat="1" ht="12.75" customHeight="1">
      <c r="A476" s="4">
        <f>IF(ISTEXT(E476),_xlfn.XLOOKUP(E476,'[1]SME09-01_LHM'!$D:$D,'[1]SME09-01_LHM'!$B:$B))</f>
        <v>601</v>
      </c>
      <c r="B476" s="4">
        <f>_xlfn.XLOOKUP(F476,'[1]SME09-01_LHM'!$I:$I,'[1]SME09-01_LHM'!$B:$B)</f>
        <v>601</v>
      </c>
      <c r="C476" s="22">
        <f>ROW()-25</f>
        <v>451</v>
      </c>
      <c r="D476" s="16" t="s">
        <v>23</v>
      </c>
      <c r="E476" s="16" t="s">
        <v>476</v>
      </c>
      <c r="F476" s="18" t="s">
        <v>475</v>
      </c>
      <c r="G476" s="18" t="s">
        <v>474</v>
      </c>
      <c r="H476" s="16" t="s">
        <v>8</v>
      </c>
      <c r="I476" s="16" t="s">
        <v>143</v>
      </c>
      <c r="J476" s="188" t="s">
        <v>18</v>
      </c>
      <c r="K476" s="181" t="s">
        <v>18</v>
      </c>
      <c r="L476" s="181" t="s">
        <v>18</v>
      </c>
      <c r="M476" s="186"/>
      <c r="N476" s="181" t="s">
        <v>72</v>
      </c>
      <c r="O476" s="202"/>
      <c r="P476" s="105" t="s">
        <v>16</v>
      </c>
      <c r="Q476" s="104" t="s">
        <v>473</v>
      </c>
      <c r="R476" s="105" t="s">
        <v>10</v>
      </c>
      <c r="S476" s="104" t="s">
        <v>472</v>
      </c>
      <c r="T476" s="106" t="s">
        <v>437</v>
      </c>
      <c r="U476" s="106" t="s">
        <v>436</v>
      </c>
      <c r="V476" s="105"/>
      <c r="W476" s="203" t="s">
        <v>10</v>
      </c>
      <c r="X476" s="203" t="s">
        <v>10</v>
      </c>
      <c r="Y476" s="182" t="str">
        <f>_xlfn.LET(_xlpm.v,_xlfn.XLOOKUP(E476,'[1]SME09-01_LHM'!$D:$D,'[1]SME09-01_LHM'!$AL:$AL),IF(_xlpm.v=0,"",_xlpm.v))</f>
        <v>IBT-149</v>
      </c>
      <c r="Z476" s="104" t="str">
        <f>_xlfn.LET(_xlpm.v,IF(ISTEXT(Y476),_xlfn.XLOOKUP(Y476,'JP-PINT'!A:A,'JP-PINT'!B:B),""),IF(ISERROR(_xlpm.v),"",_xlpm.v))</f>
        <v>&gt;&gt; Item price base quantity</v>
      </c>
      <c r="AA476" s="240" t="s">
        <v>8</v>
      </c>
    </row>
    <row r="477" spans="1:27" s="241" customFormat="1" ht="12.75" customHeight="1">
      <c r="A477" s="4"/>
      <c r="B477" s="4"/>
      <c r="C477" s="18">
        <f>ROW()-25</f>
        <v>452</v>
      </c>
      <c r="D477" s="16" t="s">
        <v>132</v>
      </c>
      <c r="E477" s="79" t="s">
        <v>470</v>
      </c>
      <c r="F477" s="18" t="s">
        <v>469</v>
      </c>
      <c r="G477" s="18" t="s">
        <v>468</v>
      </c>
      <c r="H477" s="358"/>
      <c r="I477" s="359" t="s">
        <v>127</v>
      </c>
      <c r="J477" s="21" t="s">
        <v>18</v>
      </c>
      <c r="K477" s="16" t="s">
        <v>18</v>
      </c>
      <c r="L477" s="16" t="s">
        <v>18</v>
      </c>
      <c r="M477" s="19"/>
      <c r="N477" s="181" t="s">
        <v>72</v>
      </c>
      <c r="O477" s="7"/>
      <c r="P477" s="105" t="s">
        <v>16</v>
      </c>
      <c r="Q477" s="103"/>
      <c r="R477" s="104" t="s">
        <v>430</v>
      </c>
      <c r="S477" s="104"/>
      <c r="T477" s="151"/>
      <c r="U477" s="151"/>
      <c r="V477" s="105"/>
      <c r="W477" s="56" t="s">
        <v>429</v>
      </c>
      <c r="X477" s="55" t="s">
        <v>429</v>
      </c>
      <c r="Y477" s="182"/>
      <c r="Z477" s="104" t="str">
        <f>_xlfn.LET(_xlpm.v,IF(ISTEXT(Y477),_xlfn.XLOOKUP(Y477,'JP-PINT'!A:A,'JP-PINT'!B:B),""),IF(ISERROR(_xlpm.v),"",_xlpm.v))</f>
        <v/>
      </c>
      <c r="AA477" s="16" t="s">
        <v>8</v>
      </c>
    </row>
    <row r="478" spans="1:27" s="134" customFormat="1" ht="12.75" customHeight="1">
      <c r="A478" s="4">
        <f>IF(ISTEXT(E478),_xlfn.XLOOKUP(E478,'[1]SME09-01_LHM'!$D:$D,'[1]SME09-01_LHM'!$B:$B))</f>
        <v>603</v>
      </c>
      <c r="B478" s="4">
        <f>_xlfn.XLOOKUP(F478,'[1]SME09-01_LHM'!$I:$I,'[1]SME09-01_LHM'!$B:$B)</f>
        <v>603</v>
      </c>
      <c r="C478" s="102">
        <f>ROW()-25</f>
        <v>453</v>
      </c>
      <c r="D478" s="103" t="s">
        <v>23</v>
      </c>
      <c r="E478" s="103" t="s">
        <v>466</v>
      </c>
      <c r="F478" s="93" t="s">
        <v>2782</v>
      </c>
      <c r="G478" s="105" t="s">
        <v>465</v>
      </c>
      <c r="H478" s="103" t="s">
        <v>31</v>
      </c>
      <c r="I478" s="103" t="s">
        <v>74</v>
      </c>
      <c r="J478" s="222" t="s">
        <v>79</v>
      </c>
      <c r="K478" s="223" t="s">
        <v>79</v>
      </c>
      <c r="L478" s="223" t="s">
        <v>79</v>
      </c>
      <c r="M478" s="193"/>
      <c r="N478" s="138" t="s">
        <v>27</v>
      </c>
      <c r="O478" s="136"/>
      <c r="P478" s="105" t="s">
        <v>16</v>
      </c>
      <c r="Q478" s="105" t="s">
        <v>464</v>
      </c>
      <c r="R478" s="105" t="s">
        <v>25</v>
      </c>
      <c r="S478" s="104"/>
      <c r="T478" s="103" t="s">
        <v>103</v>
      </c>
      <c r="U478" s="135" t="s">
        <v>24</v>
      </c>
      <c r="V478" s="105" t="s">
        <v>24</v>
      </c>
      <c r="W478" s="173" t="s">
        <v>25</v>
      </c>
      <c r="X478" s="174" t="s">
        <v>25</v>
      </c>
      <c r="Y478" s="192" t="str">
        <f>_xlfn.LET(_xlpm.v,_xlfn.XLOOKUP(E478,'[1]SME09-01_LHM'!$D:$D,'[1]SME09-01_LHM'!$AL:$AL),IF(_xlpm.v=0,"",_xlpm.v))</f>
        <v/>
      </c>
      <c r="Z478" s="104" t="str">
        <f>_xlfn.LET(_xlpm.v,IF(ISTEXT(Y478),_xlfn.XLOOKUP(Y478,'JP-PINT'!A:A,'JP-PINT'!B:B),""),IF(ISERROR(_xlpm.v),"",_xlpm.v))</f>
        <v/>
      </c>
      <c r="AA478" s="138" t="s">
        <v>24</v>
      </c>
    </row>
    <row r="479" spans="1:27" ht="12.75" customHeight="1">
      <c r="A479" s="4">
        <f>IF(ISTEXT(E479),_xlfn.XLOOKUP(E479,'[1]SME09-01_LHM'!$D:$D,'[1]SME09-01_LHM'!$B:$B))</f>
        <v>605</v>
      </c>
      <c r="B479" s="4">
        <f>_xlfn.XLOOKUP(F479,'[1]SME09-01_LHM'!$I:$I,'[1]SME09-01_LHM'!$B:$B)</f>
        <v>605</v>
      </c>
      <c r="C479" s="22">
        <f>ROW()-25</f>
        <v>454</v>
      </c>
      <c r="D479" s="16" t="s">
        <v>23</v>
      </c>
      <c r="E479" s="16" t="s">
        <v>463</v>
      </c>
      <c r="F479" s="18" t="s">
        <v>462</v>
      </c>
      <c r="G479" s="18" t="s">
        <v>461</v>
      </c>
      <c r="H479" s="16" t="s">
        <v>8</v>
      </c>
      <c r="I479" s="16" t="s">
        <v>377</v>
      </c>
      <c r="J479" s="188" t="s">
        <v>18</v>
      </c>
      <c r="K479" s="181" t="s">
        <v>18</v>
      </c>
      <c r="L479" s="181" t="s">
        <v>18</v>
      </c>
      <c r="M479" s="186"/>
      <c r="N479" s="23" t="s">
        <v>27</v>
      </c>
      <c r="P479" s="105" t="s">
        <v>16</v>
      </c>
      <c r="Q479" s="105" t="s">
        <v>460</v>
      </c>
      <c r="R479" s="105" t="s">
        <v>10</v>
      </c>
      <c r="S479" s="104" t="s">
        <v>438</v>
      </c>
      <c r="T479" s="106" t="s">
        <v>437</v>
      </c>
      <c r="U479" s="106" t="s">
        <v>436</v>
      </c>
      <c r="V479" s="105"/>
      <c r="W479" s="56" t="s">
        <v>10</v>
      </c>
      <c r="X479" s="55" t="s">
        <v>10</v>
      </c>
      <c r="Y479" s="182" t="str">
        <f>_xlfn.LET(_xlpm.v,_xlfn.XLOOKUP(E479,'[1]SME09-01_LHM'!$D:$D,'[1]SME09-01_LHM'!$AL:$AL),IF(_xlpm.v=0,"",_xlpm.v))</f>
        <v/>
      </c>
      <c r="Z479" s="104" t="str">
        <f>_xlfn.LET(_xlpm.v,IF(ISTEXT(Y479),_xlfn.XLOOKUP(Y479,'JP-PINT'!A:A,'JP-PINT'!B:B),""),IF(ISERROR(_xlpm.v),"",_xlpm.v))</f>
        <v/>
      </c>
      <c r="AA479" s="23" t="s">
        <v>24</v>
      </c>
    </row>
    <row r="480" spans="1:27" s="6" customFormat="1" ht="12.75" customHeight="1">
      <c r="A480" s="4"/>
      <c r="B480" s="4"/>
      <c r="C480" s="22">
        <f>ROW()-25</f>
        <v>455</v>
      </c>
      <c r="D480" s="23" t="s">
        <v>132</v>
      </c>
      <c r="E480" s="79" t="s">
        <v>459</v>
      </c>
      <c r="F480" s="18" t="s">
        <v>458</v>
      </c>
      <c r="G480" s="18" t="s">
        <v>431</v>
      </c>
      <c r="H480" s="358" t="s">
        <v>8</v>
      </c>
      <c r="I480" s="359" t="s">
        <v>127</v>
      </c>
      <c r="J480" s="188" t="s">
        <v>18</v>
      </c>
      <c r="K480" s="181" t="s">
        <v>18</v>
      </c>
      <c r="L480" s="181" t="s">
        <v>18</v>
      </c>
      <c r="M480" s="186"/>
      <c r="N480" s="61">
        <v>1</v>
      </c>
      <c r="O480" s="7"/>
      <c r="P480" s="105" t="s">
        <v>16</v>
      </c>
      <c r="Q480" s="103"/>
      <c r="R480" s="104" t="s">
        <v>430</v>
      </c>
      <c r="S480" s="104"/>
      <c r="T480" s="151"/>
      <c r="U480" s="151"/>
      <c r="V480" s="105"/>
      <c r="W480" s="56" t="s">
        <v>429</v>
      </c>
      <c r="X480" s="55" t="s">
        <v>429</v>
      </c>
      <c r="Y480" s="182"/>
      <c r="Z480" s="104" t="str">
        <f>_xlfn.LET(_xlpm.v,IF(ISTEXT(Y480),_xlfn.XLOOKUP(Y480,'JP-PINT'!A:A,'JP-PINT'!B:B),""),IF(ISERROR(_xlpm.v),"",_xlpm.v))</f>
        <v/>
      </c>
      <c r="AA480" s="18"/>
    </row>
    <row r="481" spans="1:27" s="6" customFormat="1" ht="12.75" customHeight="1">
      <c r="A481" s="4">
        <f>IF(ISTEXT(E481),_xlfn.XLOOKUP(E481,'[1]SME09-01_LHM'!$D:$D,'[1]SME09-01_LHM'!$B:$B))</f>
        <v>607</v>
      </c>
      <c r="B481" s="4">
        <f>_xlfn.XLOOKUP(F481,'[1]SME09-01_LHM'!$I:$I,'[1]SME09-01_LHM'!$B:$B)</f>
        <v>607</v>
      </c>
      <c r="C481" s="22">
        <f>ROW()-25</f>
        <v>456</v>
      </c>
      <c r="D481" s="16" t="s">
        <v>23</v>
      </c>
      <c r="E481" s="16" t="s">
        <v>457</v>
      </c>
      <c r="F481" s="18" t="s">
        <v>456</v>
      </c>
      <c r="G481" s="18" t="s">
        <v>455</v>
      </c>
      <c r="H481" s="16" t="s">
        <v>8</v>
      </c>
      <c r="I481" s="16" t="s">
        <v>454</v>
      </c>
      <c r="J481" s="188" t="s">
        <v>18</v>
      </c>
      <c r="K481" s="181" t="s">
        <v>18</v>
      </c>
      <c r="L481" s="181" t="s">
        <v>18</v>
      </c>
      <c r="M481" s="186"/>
      <c r="N481" s="360" t="s">
        <v>27</v>
      </c>
      <c r="O481" s="7"/>
      <c r="P481" s="105" t="s">
        <v>16</v>
      </c>
      <c r="Q481" s="105" t="s">
        <v>453</v>
      </c>
      <c r="R481" s="105" t="s">
        <v>10</v>
      </c>
      <c r="S481" s="104" t="s">
        <v>438</v>
      </c>
      <c r="T481" s="103" t="s">
        <v>437</v>
      </c>
      <c r="U481" s="135" t="s">
        <v>436</v>
      </c>
      <c r="V481" s="105"/>
      <c r="W481" s="56" t="s">
        <v>10</v>
      </c>
      <c r="X481" s="55" t="s">
        <v>10</v>
      </c>
      <c r="Y481" s="182" t="str">
        <f>_xlfn.LET(_xlpm.v,_xlfn.XLOOKUP(E481,'[1]SME09-01_LHM'!$D:$D,'[1]SME09-01_LHM'!$AL:$AL),IF(_xlpm.v=0,"",_xlpm.v))</f>
        <v/>
      </c>
      <c r="Z481" s="104" t="str">
        <f>_xlfn.LET(_xlpm.v,IF(ISTEXT(Y481),_xlfn.XLOOKUP(Y481,'JP-PINT'!A:A,'JP-PINT'!B:B),""),IF(ISERROR(_xlpm.v),"",_xlpm.v))</f>
        <v/>
      </c>
      <c r="AA481" s="23" t="s">
        <v>24</v>
      </c>
    </row>
    <row r="482" spans="1:27" s="6" customFormat="1" ht="12.75" customHeight="1">
      <c r="A482" s="4"/>
      <c r="B482" s="4"/>
      <c r="C482" s="22">
        <f>ROW()-25</f>
        <v>457</v>
      </c>
      <c r="D482" s="23" t="s">
        <v>132</v>
      </c>
      <c r="E482" s="79" t="s">
        <v>452</v>
      </c>
      <c r="F482" s="18" t="s">
        <v>451</v>
      </c>
      <c r="G482" s="18" t="s">
        <v>450</v>
      </c>
      <c r="H482" s="358" t="s">
        <v>8</v>
      </c>
      <c r="I482" s="359" t="s">
        <v>127</v>
      </c>
      <c r="J482" s="188" t="s">
        <v>18</v>
      </c>
      <c r="K482" s="181" t="s">
        <v>18</v>
      </c>
      <c r="L482" s="181" t="s">
        <v>18</v>
      </c>
      <c r="M482" s="186"/>
      <c r="N482" s="61">
        <v>1</v>
      </c>
      <c r="O482" s="7"/>
      <c r="P482" s="105" t="s">
        <v>16</v>
      </c>
      <c r="Q482" s="103"/>
      <c r="R482" s="104" t="s">
        <v>430</v>
      </c>
      <c r="S482" s="104"/>
      <c r="T482" s="151"/>
      <c r="U482" s="151"/>
      <c r="V482" s="105"/>
      <c r="W482" s="56" t="s">
        <v>429</v>
      </c>
      <c r="X482" s="55" t="s">
        <v>429</v>
      </c>
      <c r="Y482" s="182"/>
      <c r="Z482" s="104" t="str">
        <f>_xlfn.LET(_xlpm.v,IF(ISTEXT(Y482),_xlfn.XLOOKUP(Y482,'JP-PINT'!A:A,'JP-PINT'!B:B),""),IF(ISERROR(_xlpm.v),"",_xlpm.v))</f>
        <v/>
      </c>
      <c r="AA482" s="18"/>
    </row>
    <row r="483" spans="1:27" s="6" customFormat="1" ht="12.75" customHeight="1">
      <c r="A483" s="4">
        <f>IF(ISTEXT(E483),_xlfn.XLOOKUP(E483,'[1]SME09-01_LHM'!$D:$D,'[1]SME09-01_LHM'!$B:$B))</f>
        <v>609</v>
      </c>
      <c r="B483" s="4">
        <f>_xlfn.XLOOKUP(F483,'[1]SME09-01_LHM'!$I:$I,'[1]SME09-01_LHM'!$B:$B)</f>
        <v>609</v>
      </c>
      <c r="C483" s="22">
        <f>ROW()-25</f>
        <v>458</v>
      </c>
      <c r="D483" s="16" t="s">
        <v>23</v>
      </c>
      <c r="E483" s="16" t="s">
        <v>449</v>
      </c>
      <c r="F483" s="18" t="s">
        <v>448</v>
      </c>
      <c r="G483" s="18" t="s">
        <v>447</v>
      </c>
      <c r="H483" s="16" t="s">
        <v>31</v>
      </c>
      <c r="I483" s="359" t="s">
        <v>127</v>
      </c>
      <c r="J483" s="188" t="s">
        <v>18</v>
      </c>
      <c r="K483" s="181" t="s">
        <v>18</v>
      </c>
      <c r="L483" s="181" t="s">
        <v>18</v>
      </c>
      <c r="M483" s="186"/>
      <c r="N483" s="361" t="s">
        <v>443</v>
      </c>
      <c r="O483" s="7"/>
      <c r="P483" s="105" t="s">
        <v>16</v>
      </c>
      <c r="Q483" s="105" t="s">
        <v>446</v>
      </c>
      <c r="R483" s="105" t="s">
        <v>10</v>
      </c>
      <c r="S483" s="104" t="s">
        <v>438</v>
      </c>
      <c r="T483" s="103" t="s">
        <v>437</v>
      </c>
      <c r="U483" s="135" t="s">
        <v>436</v>
      </c>
      <c r="V483" s="105" t="s">
        <v>435</v>
      </c>
      <c r="W483" s="56" t="s">
        <v>10</v>
      </c>
      <c r="X483" s="55" t="s">
        <v>10</v>
      </c>
      <c r="Y483" s="182" t="str">
        <f>_xlfn.LET(_xlpm.v,_xlfn.XLOOKUP(E483,'[1]SME09-01_LHM'!$D:$D,'[1]SME09-01_LHM'!$AL:$AL),IF(_xlpm.v=0,"",_xlpm.v))</f>
        <v>IBT-129</v>
      </c>
      <c r="Z483" s="104" t="str">
        <f>_xlfn.LET(_xlpm.v,IF(ISTEXT(Y483),_xlfn.XLOOKUP(Y483,'JP-PINT'!A:A,'JP-PINT'!B:B),""),IF(ISERROR(_xlpm.v),"",_xlpm.v))</f>
        <v>&gt; Invoiced quantity</v>
      </c>
      <c r="AA483" s="23" t="s">
        <v>31</v>
      </c>
    </row>
    <row r="484" spans="1:27" ht="12.75" customHeight="1">
      <c r="C484" s="22">
        <f>ROW()-25</f>
        <v>459</v>
      </c>
      <c r="D484" s="23" t="s">
        <v>132</v>
      </c>
      <c r="E484" s="79" t="s">
        <v>445</v>
      </c>
      <c r="F484" s="18" t="s">
        <v>444</v>
      </c>
      <c r="G484" s="18" t="s">
        <v>431</v>
      </c>
      <c r="H484" s="358" t="s">
        <v>8</v>
      </c>
      <c r="I484" s="359" t="s">
        <v>127</v>
      </c>
      <c r="J484" s="188" t="s">
        <v>18</v>
      </c>
      <c r="K484" s="181" t="s">
        <v>18</v>
      </c>
      <c r="L484" s="181" t="s">
        <v>18</v>
      </c>
      <c r="M484" s="186"/>
      <c r="N484" s="181" t="s">
        <v>443</v>
      </c>
      <c r="P484" s="105" t="s">
        <v>16</v>
      </c>
      <c r="Q484" s="103"/>
      <c r="R484" s="104" t="s">
        <v>430</v>
      </c>
      <c r="S484" s="104"/>
      <c r="T484" s="151"/>
      <c r="U484" s="151"/>
      <c r="V484" s="105"/>
      <c r="W484" s="56" t="s">
        <v>429</v>
      </c>
      <c r="X484" s="55" t="s">
        <v>429</v>
      </c>
      <c r="Y484" s="182"/>
      <c r="Z484" s="104" t="str">
        <f>_xlfn.LET(_xlpm.v,IF(ISTEXT(Y484),_xlfn.XLOOKUP(Y484,'JP-PINT'!A:A,'JP-PINT'!B:B),""),IF(ISERROR(_xlpm.v),"",_xlpm.v))</f>
        <v/>
      </c>
      <c r="AA484" s="16" t="s">
        <v>31</v>
      </c>
    </row>
    <row r="485" spans="1:27" s="45" customFormat="1" ht="12.75" customHeight="1">
      <c r="A485" s="4">
        <f>IF(ISTEXT(E485),_xlfn.XLOOKUP(E485,'[1]SME09-01_LHM'!$D:$D,'[1]SME09-01_LHM'!$B:$B))</f>
        <v>611</v>
      </c>
      <c r="B485" s="4">
        <f>_xlfn.XLOOKUP(F485,'[1]SME09-01_LHM'!$I:$I,'[1]SME09-01_LHM'!$B:$B)</f>
        <v>611</v>
      </c>
      <c r="C485" s="37">
        <f>ROW()-25</f>
        <v>460</v>
      </c>
      <c r="D485" s="35" t="s">
        <v>23</v>
      </c>
      <c r="E485" s="35" t="s">
        <v>442</v>
      </c>
      <c r="F485" s="37" t="s">
        <v>441</v>
      </c>
      <c r="G485" s="37" t="s">
        <v>440</v>
      </c>
      <c r="H485" s="35" t="s">
        <v>31</v>
      </c>
      <c r="I485" s="359" t="s">
        <v>127</v>
      </c>
      <c r="J485" s="197" t="s">
        <v>439</v>
      </c>
      <c r="K485" s="197" t="s">
        <v>439</v>
      </c>
      <c r="L485" s="197" t="s">
        <v>439</v>
      </c>
      <c r="M485" s="197"/>
      <c r="N485" s="362"/>
      <c r="O485" s="60" t="s">
        <v>79</v>
      </c>
      <c r="P485" s="148" t="s">
        <v>16</v>
      </c>
      <c r="Q485" s="148" t="s">
        <v>397</v>
      </c>
      <c r="R485" s="148" t="s">
        <v>10</v>
      </c>
      <c r="S485" s="130" t="s">
        <v>438</v>
      </c>
      <c r="T485" s="153" t="s">
        <v>437</v>
      </c>
      <c r="U485" s="165" t="s">
        <v>436</v>
      </c>
      <c r="V485" s="148" t="s">
        <v>435</v>
      </c>
      <c r="W485" s="56" t="s">
        <v>10</v>
      </c>
      <c r="X485" s="55" t="s">
        <v>10</v>
      </c>
      <c r="Y485" s="182" t="str">
        <f>_xlfn.LET(_xlpm.v,_xlfn.XLOOKUP(E485,'[1]SME09-01_LHM'!$D:$D,'[1]SME09-01_LHM'!$AL:$AL),IF(_xlpm.v=0,"",_xlpm.v))</f>
        <v/>
      </c>
      <c r="Z485" s="104" t="str">
        <f>_xlfn.LET(_xlpm.v,IF(ISTEXT(Y485),_xlfn.XLOOKUP(Y485,'JP-PINT'!A:A,'JP-PINT'!B:B),""),IF(ISERROR(_xlpm.v),"",_xlpm.v))</f>
        <v/>
      </c>
      <c r="AA485" s="35" t="s">
        <v>31</v>
      </c>
    </row>
    <row r="486" spans="1:27" s="45" customFormat="1" ht="12.75" customHeight="1">
      <c r="A486" s="4"/>
      <c r="B486" s="4"/>
      <c r="C486" s="37">
        <f>ROW()-25</f>
        <v>461</v>
      </c>
      <c r="D486" s="35" t="s">
        <v>132</v>
      </c>
      <c r="E486" s="363" t="s">
        <v>433</v>
      </c>
      <c r="F486" s="37" t="s">
        <v>432</v>
      </c>
      <c r="G486" s="37" t="s">
        <v>431</v>
      </c>
      <c r="H486" s="364" t="s">
        <v>8</v>
      </c>
      <c r="I486" s="359" t="s">
        <v>127</v>
      </c>
      <c r="J486" s="197" t="s">
        <v>18</v>
      </c>
      <c r="K486" s="196" t="s">
        <v>18</v>
      </c>
      <c r="L486" s="196" t="s">
        <v>18</v>
      </c>
      <c r="M486" s="197"/>
      <c r="N486" s="196"/>
      <c r="O486" s="60"/>
      <c r="P486" s="148" t="s">
        <v>16</v>
      </c>
      <c r="Q486" s="153"/>
      <c r="R486" s="130" t="s">
        <v>430</v>
      </c>
      <c r="S486" s="130"/>
      <c r="T486" s="365"/>
      <c r="U486" s="365"/>
      <c r="V486" s="148"/>
      <c r="W486" s="56" t="s">
        <v>429</v>
      </c>
      <c r="X486" s="55" t="s">
        <v>429</v>
      </c>
      <c r="Y486" s="182"/>
      <c r="Z486" s="104" t="str">
        <f>_xlfn.LET(_xlpm.v,IF(ISTEXT(Y486),_xlfn.XLOOKUP(Y486,'JP-PINT'!A:A,'JP-PINT'!B:B),""),IF(ISERROR(_xlpm.v),"",_xlpm.v))</f>
        <v/>
      </c>
      <c r="AA486" s="35" t="s">
        <v>31</v>
      </c>
    </row>
    <row r="487" spans="1:27" s="6" customFormat="1" ht="12.75" customHeight="1">
      <c r="A487" s="4">
        <f>IF(ISTEXT(E487),_xlfn.XLOOKUP(E487,'[1]SME09-01_LHM'!$D:$D,'[1]SME09-01_LHM'!$B:$B))</f>
        <v>613</v>
      </c>
      <c r="B487" s="4">
        <f>_xlfn.XLOOKUP(F487,'[1]SME09-01_LHM'!$I:$I,'[1]SME09-01_LHM'!$B:$B)</f>
        <v>613</v>
      </c>
      <c r="C487" s="18">
        <f>ROW()-25</f>
        <v>462</v>
      </c>
      <c r="D487" s="26" t="s">
        <v>23</v>
      </c>
      <c r="E487" s="67" t="s">
        <v>427</v>
      </c>
      <c r="F487" s="25" t="s">
        <v>2790</v>
      </c>
      <c r="G487" s="25" t="s">
        <v>426</v>
      </c>
      <c r="H487" s="26" t="s">
        <v>8</v>
      </c>
      <c r="I487" s="59" t="s">
        <v>422</v>
      </c>
      <c r="J487" s="201" t="s">
        <v>18</v>
      </c>
      <c r="K487" s="199" t="s">
        <v>18</v>
      </c>
      <c r="L487" s="245"/>
      <c r="M487" s="201"/>
      <c r="N487" s="181" t="s">
        <v>27</v>
      </c>
      <c r="O487" s="13"/>
      <c r="P487" s="105" t="s">
        <v>126</v>
      </c>
      <c r="Q487" s="105" t="s">
        <v>983</v>
      </c>
      <c r="R487" s="105" t="s">
        <v>25</v>
      </c>
      <c r="S487" s="104"/>
      <c r="T487" s="103" t="s">
        <v>103</v>
      </c>
      <c r="U487" s="135" t="s">
        <v>24</v>
      </c>
      <c r="V487" s="105" t="s">
        <v>24</v>
      </c>
      <c r="W487" s="56" t="s">
        <v>25</v>
      </c>
      <c r="X487" s="55"/>
      <c r="Y487" s="182" t="str">
        <f>_xlfn.LET(_xlpm.v,_xlfn.XLOOKUP(E487,'[1]SME09-01_LHM'!$D:$D,'[1]SME09-01_LHM'!$AL:$AL),IF(_xlpm.v=0,"",_xlpm.v))</f>
        <v/>
      </c>
      <c r="Z487" s="104" t="str">
        <f>_xlfn.LET(_xlpm.v,IF(ISTEXT(Y487),_xlfn.XLOOKUP(Y487,'JP-PINT'!A:A,'JP-PINT'!B:B),""),IF(ISERROR(_xlpm.v),"",_xlpm.v))</f>
        <v/>
      </c>
      <c r="AA487" s="181" t="s">
        <v>24</v>
      </c>
    </row>
    <row r="488" spans="1:27" s="6" customFormat="1" ht="12.75" customHeight="1">
      <c r="A488" s="4">
        <f>IF(ISTEXT(E488),_xlfn.XLOOKUP(E488,'[1]SME09-01_LHM'!$D:$D,'[1]SME09-01_LHM'!$B:$B))</f>
        <v>615</v>
      </c>
      <c r="B488" s="4">
        <f>_xlfn.XLOOKUP(F488,'[1]SME09-01_LHM'!$I:$I,'[1]SME09-01_LHM'!$B:$B)</f>
        <v>615</v>
      </c>
      <c r="C488" s="18">
        <f>ROW()-25</f>
        <v>463</v>
      </c>
      <c r="D488" s="16" t="s">
        <v>23</v>
      </c>
      <c r="E488" s="16" t="s">
        <v>425</v>
      </c>
      <c r="F488" s="18" t="s">
        <v>424</v>
      </c>
      <c r="G488" s="18" t="s">
        <v>423</v>
      </c>
      <c r="H488" s="16" t="s">
        <v>8</v>
      </c>
      <c r="I488" s="59" t="s">
        <v>422</v>
      </c>
      <c r="J488" s="188" t="s">
        <v>18</v>
      </c>
      <c r="K488" s="181" t="s">
        <v>18</v>
      </c>
      <c r="L488" s="242"/>
      <c r="M488" s="195" t="s">
        <v>73</v>
      </c>
      <c r="N488" s="181" t="s">
        <v>46</v>
      </c>
      <c r="O488" s="13"/>
      <c r="P488" s="105" t="s">
        <v>126</v>
      </c>
      <c r="Q488" s="105" t="s">
        <v>415</v>
      </c>
      <c r="R488" s="105" t="s">
        <v>10</v>
      </c>
      <c r="S488" s="104"/>
      <c r="T488" s="106"/>
      <c r="U488" s="106" t="s">
        <v>24</v>
      </c>
      <c r="V488" s="105" t="s">
        <v>24</v>
      </c>
      <c r="W488" s="3" t="s">
        <v>10</v>
      </c>
      <c r="X488" s="3"/>
      <c r="Y488" s="182" t="str">
        <f>_xlfn.LET(_xlpm.v,_xlfn.XLOOKUP(E488,'[1]SME09-01_LHM'!$D:$D,'[1]SME09-01_LHM'!$AL:$AL),IF(_xlpm.v=0,"",_xlpm.v))</f>
        <v/>
      </c>
      <c r="Z488" s="104" t="str">
        <f>_xlfn.LET(_xlpm.v,IF(ISTEXT(Y488),_xlfn.XLOOKUP(Y488,'JP-PINT'!A:A,'JP-PINT'!B:B),""),IF(ISERROR(_xlpm.v),"",_xlpm.v))</f>
        <v/>
      </c>
      <c r="AA488" s="16" t="s">
        <v>8</v>
      </c>
    </row>
    <row r="489" spans="1:27" s="45" customFormat="1" ht="12.75" customHeight="1">
      <c r="A489" s="4">
        <f>IF(ISTEXT(E489),_xlfn.XLOOKUP(E489,'[1]SME09-01_LHM'!$D:$D,'[1]SME09-01_LHM'!$B:$B))</f>
        <v>616</v>
      </c>
      <c r="B489" s="4">
        <f>_xlfn.XLOOKUP(F489,'[1]SME09-01_LHM'!$I:$I,'[1]SME09-01_LHM'!$B:$B)</f>
        <v>616</v>
      </c>
      <c r="C489" s="37">
        <f>ROW()-25</f>
        <v>464</v>
      </c>
      <c r="D489" s="46" t="s">
        <v>23</v>
      </c>
      <c r="E489" s="46" t="s">
        <v>420</v>
      </c>
      <c r="F489" s="58" t="s">
        <v>2783</v>
      </c>
      <c r="G489" s="58" t="s">
        <v>419</v>
      </c>
      <c r="H489" s="46" t="s">
        <v>8</v>
      </c>
      <c r="I489" s="39" t="s">
        <v>227</v>
      </c>
      <c r="J489" s="269" t="s">
        <v>18</v>
      </c>
      <c r="K489" s="282" t="s">
        <v>18</v>
      </c>
      <c r="L489" s="283"/>
      <c r="M489" s="189"/>
      <c r="N489" s="196" t="s">
        <v>27</v>
      </c>
      <c r="O489" s="7"/>
      <c r="P489" s="148" t="s">
        <v>126</v>
      </c>
      <c r="Q489" s="172" t="s">
        <v>2784</v>
      </c>
      <c r="R489" s="148" t="s">
        <v>25</v>
      </c>
      <c r="S489" s="130"/>
      <c r="T489" s="149" t="s">
        <v>103</v>
      </c>
      <c r="U489" s="149" t="s">
        <v>24</v>
      </c>
      <c r="V489" s="148" t="s">
        <v>24</v>
      </c>
      <c r="W489" s="3" t="s">
        <v>25</v>
      </c>
      <c r="X489" s="3"/>
      <c r="Y489" s="182" t="str">
        <f>_xlfn.LET(_xlpm.v,_xlfn.XLOOKUP(E489,'[1]SME09-01_LHM'!$D:$D,'[1]SME09-01_LHM'!$AL:$AL),IF(_xlpm.v=0,"",_xlpm.v))</f>
        <v/>
      </c>
      <c r="Z489" s="104" t="str">
        <f>_xlfn.LET(_xlpm.v,IF(ISTEXT(Y489),_xlfn.XLOOKUP(Y489,'JP-PINT'!A:A,'JP-PINT'!B:B),""),IF(ISERROR(_xlpm.v),"",_xlpm.v))</f>
        <v/>
      </c>
      <c r="AA489" s="196" t="s">
        <v>24</v>
      </c>
    </row>
    <row r="490" spans="1:27" s="45" customFormat="1" ht="12.75" customHeight="1">
      <c r="A490" s="4">
        <f>IF(ISTEXT(E490),_xlfn.XLOOKUP(E490,'[1]SME09-01_LHM'!$D:$D,'[1]SME09-01_LHM'!$B:$B))</f>
        <v>618</v>
      </c>
      <c r="B490" s="4">
        <f>_xlfn.XLOOKUP(F490,'[1]SME09-01_LHM'!$I:$I,'[1]SME09-01_LHM'!$B:$B)</f>
        <v>618</v>
      </c>
      <c r="C490" s="37">
        <f>ROW()-25</f>
        <v>465</v>
      </c>
      <c r="D490" s="35" t="s">
        <v>23</v>
      </c>
      <c r="E490" s="35" t="s">
        <v>418</v>
      </c>
      <c r="F490" s="37" t="s">
        <v>417</v>
      </c>
      <c r="G490" s="37" t="s">
        <v>416</v>
      </c>
      <c r="H490" s="35" t="s">
        <v>8</v>
      </c>
      <c r="I490" s="39" t="s">
        <v>227</v>
      </c>
      <c r="J490" s="197" t="s">
        <v>18</v>
      </c>
      <c r="K490" s="196" t="s">
        <v>18</v>
      </c>
      <c r="L490" s="279"/>
      <c r="M490" s="195" t="s">
        <v>73</v>
      </c>
      <c r="N490" s="196"/>
      <c r="O490" s="7"/>
      <c r="P490" s="148" t="s">
        <v>126</v>
      </c>
      <c r="Q490" s="148" t="s">
        <v>415</v>
      </c>
      <c r="R490" s="148" t="s">
        <v>10</v>
      </c>
      <c r="S490" s="130"/>
      <c r="T490" s="149"/>
      <c r="U490" s="149" t="s">
        <v>24</v>
      </c>
      <c r="V490" s="148" t="s">
        <v>24</v>
      </c>
      <c r="W490" s="3" t="s">
        <v>10</v>
      </c>
      <c r="X490" s="3"/>
      <c r="Y490" s="182" t="str">
        <f>_xlfn.LET(_xlpm.v,_xlfn.XLOOKUP(E490,'[1]SME09-01_LHM'!$D:$D,'[1]SME09-01_LHM'!$AL:$AL),IF(_xlpm.v=0,"",_xlpm.v))</f>
        <v/>
      </c>
      <c r="Z490" s="104" t="str">
        <f>_xlfn.LET(_xlpm.v,IF(ISTEXT(Y490),_xlfn.XLOOKUP(Y490,'JP-PINT'!A:A,'JP-PINT'!B:B),""),IF(ISERROR(_xlpm.v),"",_xlpm.v))</f>
        <v/>
      </c>
      <c r="AA490" s="35"/>
    </row>
    <row r="491" spans="1:27" s="45" customFormat="1" ht="12.75" customHeight="1">
      <c r="A491" s="4">
        <f>IF(ISTEXT(E491),_xlfn.XLOOKUP(E491,'[1]SME09-01_LHM'!$D:$D,'[1]SME09-01_LHM'!$B:$B))</f>
        <v>619</v>
      </c>
      <c r="B491" s="4">
        <f>_xlfn.XLOOKUP(F491,'[1]SME09-01_LHM'!$I:$I,'[1]SME09-01_LHM'!$B:$B)</f>
        <v>619</v>
      </c>
      <c r="C491" s="22">
        <f>ROW()-25</f>
        <v>466</v>
      </c>
      <c r="D491" s="26" t="s">
        <v>23</v>
      </c>
      <c r="E491" s="208" t="s">
        <v>414</v>
      </c>
      <c r="F491" s="93" t="s">
        <v>2785</v>
      </c>
      <c r="G491" s="25" t="s">
        <v>413</v>
      </c>
      <c r="H491" s="26" t="s">
        <v>8</v>
      </c>
      <c r="I491" s="39" t="s">
        <v>227</v>
      </c>
      <c r="J491" s="201" t="s">
        <v>66</v>
      </c>
      <c r="K491" s="199" t="s">
        <v>66</v>
      </c>
      <c r="L491" s="245"/>
      <c r="M491" s="189"/>
      <c r="N491" s="181" t="s">
        <v>398</v>
      </c>
      <c r="O491" s="7"/>
      <c r="P491" s="105" t="s">
        <v>16</v>
      </c>
      <c r="Q491" s="148" t="s">
        <v>397</v>
      </c>
      <c r="R491" s="105" t="s">
        <v>25</v>
      </c>
      <c r="S491" s="104"/>
      <c r="T491" s="106" t="s">
        <v>103</v>
      </c>
      <c r="U491" s="106" t="s">
        <v>24</v>
      </c>
      <c r="V491" s="105" t="s">
        <v>24</v>
      </c>
      <c r="W491" s="3" t="s">
        <v>25</v>
      </c>
      <c r="X491" s="3"/>
      <c r="Y491" s="182" t="str">
        <f>_xlfn.LET(_xlpm.v,_xlfn.XLOOKUP(E491,'[1]SME09-01_LHM'!$D:$D,'[1]SME09-01_LHM'!$AL:$AL),IF(_xlpm.v=0,"",_xlpm.v))</f>
        <v/>
      </c>
      <c r="Z491" s="104" t="str">
        <f>_xlfn.LET(_xlpm.v,IF(ISTEXT(Y491),_xlfn.XLOOKUP(Y491,'JP-PINT'!A:A,'JP-PINT'!B:B),""),IF(ISERROR(_xlpm.v),"",_xlpm.v))</f>
        <v/>
      </c>
      <c r="AA491" s="23" t="s">
        <v>24</v>
      </c>
    </row>
    <row r="492" spans="1:27" s="6" customFormat="1" ht="12.75" customHeight="1">
      <c r="A492" s="4">
        <f>IF(ISTEXT(E492),_xlfn.XLOOKUP(E492,'[1]SME09-01_LHM'!$D:$D,'[1]SME09-01_LHM'!$B:$B))</f>
        <v>621</v>
      </c>
      <c r="B492" s="4">
        <f>_xlfn.XLOOKUP(F492,'[1]SME09-01_LHM'!$I:$I,'[1]SME09-01_LHM'!$B:$B)</f>
        <v>621</v>
      </c>
      <c r="C492" s="22">
        <f>ROW()-25</f>
        <v>467</v>
      </c>
      <c r="D492" s="16" t="s">
        <v>23</v>
      </c>
      <c r="E492" s="16" t="s">
        <v>412</v>
      </c>
      <c r="F492" s="18" t="s">
        <v>411</v>
      </c>
      <c r="G492" s="18" t="s">
        <v>410</v>
      </c>
      <c r="H492" s="16" t="s">
        <v>31</v>
      </c>
      <c r="I492" s="39" t="s">
        <v>227</v>
      </c>
      <c r="J492" s="188" t="s">
        <v>66</v>
      </c>
      <c r="K492" s="181" t="s">
        <v>66</v>
      </c>
      <c r="L492" s="242"/>
      <c r="M492" s="186"/>
      <c r="N492" s="181" t="s">
        <v>17</v>
      </c>
      <c r="O492" s="7"/>
      <c r="P492" s="105" t="s">
        <v>16</v>
      </c>
      <c r="Q492" s="105" t="s">
        <v>327</v>
      </c>
      <c r="R492" s="105" t="s">
        <v>10</v>
      </c>
      <c r="S492" s="104" t="s">
        <v>24</v>
      </c>
      <c r="T492" s="106" t="s">
        <v>24</v>
      </c>
      <c r="U492" s="106" t="s">
        <v>24</v>
      </c>
      <c r="V492" s="105" t="s">
        <v>24</v>
      </c>
      <c r="W492" s="3" t="s">
        <v>10</v>
      </c>
      <c r="X492" s="3"/>
      <c r="Y492" s="182" t="str">
        <f>_xlfn.LET(_xlpm.v,_xlfn.XLOOKUP(E492,'[1]SME09-01_LHM'!$D:$D,'[1]SME09-01_LHM'!$AL:$AL),IF(_xlpm.v=0,"",_xlpm.v))</f>
        <v>IBT-184</v>
      </c>
      <c r="Z492" s="104" t="str">
        <f>_xlfn.LET(_xlpm.v,IF(ISTEXT(Y492),_xlfn.XLOOKUP(Y492,'JP-PINT'!A:A,'JP-PINT'!B:B),""),IF(ISERROR(_xlpm.v),"",_xlpm.v))</f>
        <v>&gt; Despatch advice reference</v>
      </c>
      <c r="AA492" s="16" t="s">
        <v>8</v>
      </c>
    </row>
    <row r="493" spans="1:27" s="6" customFormat="1" ht="12.75" customHeight="1">
      <c r="A493" s="4">
        <f>IF(ISTEXT(E493),_xlfn.XLOOKUP(E493,'[1]SME09-01_LHM'!$D:$D,'[1]SME09-01_LHM'!$B:$B))</f>
        <v>622</v>
      </c>
      <c r="B493" s="4">
        <f>_xlfn.XLOOKUP(F493,'[1]SME09-01_LHM'!$I:$I,'[1]SME09-01_LHM'!$B:$B)</f>
        <v>622</v>
      </c>
      <c r="C493" s="22"/>
      <c r="D493" s="16"/>
      <c r="E493" s="16" t="s">
        <v>2787</v>
      </c>
      <c r="F493" s="93" t="s">
        <v>2786</v>
      </c>
      <c r="G493" s="18"/>
      <c r="H493" s="16"/>
      <c r="I493" s="39"/>
      <c r="J493" s="188"/>
      <c r="K493" s="181"/>
      <c r="L493" s="242"/>
      <c r="M493" s="186"/>
      <c r="N493" s="181"/>
      <c r="O493" s="7"/>
      <c r="P493" s="105"/>
      <c r="Q493" s="105"/>
      <c r="R493" s="105"/>
      <c r="S493" s="104"/>
      <c r="T493" s="106"/>
      <c r="U493" s="106"/>
      <c r="V493" s="105"/>
      <c r="W493" s="3"/>
      <c r="X493" s="3"/>
      <c r="Y493" s="182" t="str">
        <f>_xlfn.LET(_xlpm.v,_xlfn.XLOOKUP(E493,'[1]SME09-01_LHM'!$D:$D,'[1]SME09-01_LHM'!$AL:$AL),IF(_xlpm.v=0,"",_xlpm.v))</f>
        <v/>
      </c>
      <c r="Z493" s="104" t="str">
        <f>_xlfn.LET(_xlpm.v,IF(ISTEXT(Y493),_xlfn.XLOOKUP(Y493,'JP-PINT'!A:A,'JP-PINT'!B:B),""),IF(ISERROR(_xlpm.v),"",_xlpm.v))</f>
        <v/>
      </c>
      <c r="AA493" s="16"/>
    </row>
    <row r="494" spans="1:27" s="6" customFormat="1" ht="12.75" customHeight="1">
      <c r="A494" s="4">
        <f>IF(ISTEXT(E494),_xlfn.XLOOKUP(E494,'[1]SME09-01_LHM'!$D:$D,'[1]SME09-01_LHM'!$B:$B))</f>
        <v>623</v>
      </c>
      <c r="B494" s="4">
        <f>_xlfn.XLOOKUP(F494,'[1]SME09-01_LHM'!$I:$I,'[1]SME09-01_LHM'!$B:$B)</f>
        <v>623</v>
      </c>
      <c r="C494" s="37">
        <f>ROW()-25</f>
        <v>469</v>
      </c>
      <c r="D494" s="35" t="s">
        <v>23</v>
      </c>
      <c r="E494" s="35" t="s">
        <v>409</v>
      </c>
      <c r="F494" s="37" t="s">
        <v>408</v>
      </c>
      <c r="G494" s="37" t="s">
        <v>407</v>
      </c>
      <c r="H494" s="35" t="s">
        <v>8</v>
      </c>
      <c r="I494" s="39" t="s">
        <v>227</v>
      </c>
      <c r="J494" s="197" t="s">
        <v>18</v>
      </c>
      <c r="K494" s="196" t="s">
        <v>18</v>
      </c>
      <c r="L494" s="279"/>
      <c r="M494" s="186"/>
      <c r="N494" s="35" t="s">
        <v>27</v>
      </c>
      <c r="O494" s="202"/>
      <c r="P494" s="148" t="s">
        <v>16</v>
      </c>
      <c r="Q494" s="148" t="s">
        <v>322</v>
      </c>
      <c r="R494" s="148" t="s">
        <v>10</v>
      </c>
      <c r="S494" s="130"/>
      <c r="T494" s="153"/>
      <c r="U494" s="153" t="s">
        <v>24</v>
      </c>
      <c r="V494" s="148" t="s">
        <v>24</v>
      </c>
      <c r="W494" s="203" t="s">
        <v>10</v>
      </c>
      <c r="X494" s="203"/>
      <c r="Y494" s="182" t="str">
        <f>_xlfn.LET(_xlpm.v,_xlfn.XLOOKUP(E494,'[1]SME09-01_LHM'!$D:$D,'[1]SME09-01_LHM'!$AL:$AL),IF(_xlpm.v=0,"",_xlpm.v))</f>
        <v/>
      </c>
      <c r="Z494" s="104" t="str">
        <f>_xlfn.LET(_xlpm.v,IF(ISTEXT(Y494),_xlfn.XLOOKUP(Y494,'JP-PINT'!A:A,'JP-PINT'!B:B),""),IF(ISERROR(_xlpm.v),"",_xlpm.v))</f>
        <v/>
      </c>
      <c r="AA494" s="35" t="s">
        <v>24</v>
      </c>
    </row>
    <row r="495" spans="1:27" s="281" customFormat="1" ht="12.75" customHeight="1">
      <c r="A495" s="4">
        <f>IF(ISTEXT(E495),_xlfn.XLOOKUP(E495,'[1]SME09-01_LHM'!$D:$D,'[1]SME09-01_LHM'!$B:$B))</f>
        <v>624</v>
      </c>
      <c r="B495" s="4">
        <f>_xlfn.XLOOKUP(F495,'[1]SME09-01_LHM'!$I:$I,'[1]SME09-01_LHM'!$B:$B)</f>
        <v>624</v>
      </c>
      <c r="C495" s="22">
        <f>ROW()-25</f>
        <v>470</v>
      </c>
      <c r="D495" s="16" t="s">
        <v>23</v>
      </c>
      <c r="E495" s="16" t="s">
        <v>406</v>
      </c>
      <c r="F495" s="18" t="s">
        <v>405</v>
      </c>
      <c r="G495" s="18" t="s">
        <v>404</v>
      </c>
      <c r="H495" s="16" t="s">
        <v>31</v>
      </c>
      <c r="I495" s="39" t="s">
        <v>227</v>
      </c>
      <c r="J495" s="188" t="s">
        <v>18</v>
      </c>
      <c r="K495" s="16" t="s">
        <v>18</v>
      </c>
      <c r="L495" s="20"/>
      <c r="M495" s="186"/>
      <c r="N495" s="23" t="s">
        <v>27</v>
      </c>
      <c r="O495" s="7"/>
      <c r="P495" s="105" t="s">
        <v>16</v>
      </c>
      <c r="Q495" s="105" t="s">
        <v>318</v>
      </c>
      <c r="R495" s="105" t="s">
        <v>10</v>
      </c>
      <c r="S495" s="104" t="s">
        <v>24</v>
      </c>
      <c r="T495" s="103" t="s">
        <v>24</v>
      </c>
      <c r="U495" s="103" t="s">
        <v>24</v>
      </c>
      <c r="V495" s="105" t="s">
        <v>24</v>
      </c>
      <c r="W495" s="3" t="s">
        <v>10</v>
      </c>
      <c r="X495" s="3"/>
      <c r="Y495" s="182" t="str">
        <f>_xlfn.LET(_xlpm.v,_xlfn.XLOOKUP(E495,'[1]SME09-01_LHM'!$D:$D,'[1]SME09-01_LHM'!$AL:$AL),IF(_xlpm.v=0,"",_xlpm.v))</f>
        <v/>
      </c>
      <c r="Z495" s="104" t="str">
        <f>_xlfn.LET(_xlpm.v,IF(ISTEXT(Y495),_xlfn.XLOOKUP(Y495,'JP-PINT'!A:A,'JP-PINT'!B:B),""),IF(ISERROR(_xlpm.v),"",_xlpm.v))</f>
        <v/>
      </c>
      <c r="AA495" s="23" t="s">
        <v>24</v>
      </c>
    </row>
    <row r="496" spans="1:27" s="6" customFormat="1" ht="12.75" customHeight="1">
      <c r="A496" s="4">
        <f>IF(ISTEXT(E496),_xlfn.XLOOKUP(E496,'[1]SME09-01_LHM'!$D:$D,'[1]SME09-01_LHM'!$B:$B))</f>
        <v>625</v>
      </c>
      <c r="B496" s="4">
        <f>_xlfn.XLOOKUP(F496,'[1]SME09-01_LHM'!$I:$I,'[1]SME09-01_LHM'!$B:$B)</f>
        <v>625</v>
      </c>
      <c r="C496" s="22">
        <f>ROW()-25</f>
        <v>471</v>
      </c>
      <c r="D496" s="16" t="s">
        <v>23</v>
      </c>
      <c r="E496" s="16" t="s">
        <v>403</v>
      </c>
      <c r="F496" s="18" t="s">
        <v>402</v>
      </c>
      <c r="G496" s="18" t="s">
        <v>401</v>
      </c>
      <c r="H496" s="16" t="s">
        <v>8</v>
      </c>
      <c r="I496" s="39" t="s">
        <v>227</v>
      </c>
      <c r="J496" s="75" t="s">
        <v>18</v>
      </c>
      <c r="K496" s="16" t="s">
        <v>18</v>
      </c>
      <c r="L496" s="20"/>
      <c r="M496" s="72"/>
      <c r="N496" s="23" t="s">
        <v>27</v>
      </c>
      <c r="O496" s="7"/>
      <c r="P496" s="105" t="s">
        <v>16</v>
      </c>
      <c r="Q496" s="105" t="s">
        <v>307</v>
      </c>
      <c r="R496" s="105" t="s">
        <v>10</v>
      </c>
      <c r="S496" s="198" t="s">
        <v>24</v>
      </c>
      <c r="T496" s="70" t="s">
        <v>24</v>
      </c>
      <c r="U496" s="70" t="s">
        <v>24</v>
      </c>
      <c r="V496" s="66" t="s">
        <v>24</v>
      </c>
      <c r="W496" s="3" t="s">
        <v>10</v>
      </c>
      <c r="X496" s="3"/>
      <c r="Y496" s="182" t="str">
        <f>_xlfn.LET(_xlpm.v,_xlfn.XLOOKUP(E496,'[1]SME09-01_LHM'!$D:$D,'[1]SME09-01_LHM'!$AL:$AL),IF(_xlpm.v=0,"",_xlpm.v))</f>
        <v/>
      </c>
      <c r="Z496" s="104" t="str">
        <f>_xlfn.LET(_xlpm.v,IF(ISTEXT(Y496),_xlfn.XLOOKUP(Y496,'JP-PINT'!A:A,'JP-PINT'!B:B),""),IF(ISERROR(_xlpm.v),"",_xlpm.v))</f>
        <v/>
      </c>
      <c r="AA496" s="23" t="s">
        <v>24</v>
      </c>
    </row>
    <row r="497" spans="1:27" s="6" customFormat="1" ht="12.75" customHeight="1">
      <c r="A497" s="4">
        <f>IF(ISTEXT(E497),_xlfn.XLOOKUP(E497,'[1]SME09-01_LHM'!$D:$D,'[1]SME09-01_LHM'!$B:$B))</f>
        <v>626</v>
      </c>
      <c r="B497" s="4">
        <f>_xlfn.XLOOKUP(F497,'[1]SME09-01_LHM'!$I:$I,'[1]SME09-01_LHM'!$B:$B)</f>
        <v>626</v>
      </c>
      <c r="C497" s="37">
        <f>ROW()-25</f>
        <v>472</v>
      </c>
      <c r="D497" s="46" t="s">
        <v>23</v>
      </c>
      <c r="E497" s="366" t="s">
        <v>400</v>
      </c>
      <c r="F497" s="58" t="s">
        <v>2793</v>
      </c>
      <c r="G497" s="58" t="s">
        <v>399</v>
      </c>
      <c r="H497" s="46" t="s">
        <v>8</v>
      </c>
      <c r="I497" s="39" t="s">
        <v>227</v>
      </c>
      <c r="J497" s="282" t="s">
        <v>66</v>
      </c>
      <c r="K497" s="282" t="s">
        <v>66</v>
      </c>
      <c r="L497" s="283"/>
      <c r="M497" s="190"/>
      <c r="N497" s="196" t="s">
        <v>398</v>
      </c>
      <c r="O497" s="7"/>
      <c r="P497" s="148" t="s">
        <v>16</v>
      </c>
      <c r="Q497" s="148" t="s">
        <v>397</v>
      </c>
      <c r="R497" s="148" t="s">
        <v>25</v>
      </c>
      <c r="S497" s="130"/>
      <c r="T497" s="153" t="s">
        <v>103</v>
      </c>
      <c r="U497" s="153" t="s">
        <v>24</v>
      </c>
      <c r="V497" s="148" t="s">
        <v>24</v>
      </c>
      <c r="W497" s="3" t="s">
        <v>25</v>
      </c>
      <c r="X497" s="3"/>
      <c r="Y497" s="182" t="str">
        <f>_xlfn.LET(_xlpm.v,_xlfn.XLOOKUP(E497,'[1]SME09-01_LHM'!$D:$D,'[1]SME09-01_LHM'!$AL:$AL),IF(_xlpm.v=0,"",_xlpm.v))</f>
        <v/>
      </c>
      <c r="Z497" s="104" t="str">
        <f>_xlfn.LET(_xlpm.v,IF(ISTEXT(Y497),_xlfn.XLOOKUP(Y497,'JP-PINT'!A:A,'JP-PINT'!B:B),""),IF(ISERROR(_xlpm.v),"",_xlpm.v))</f>
        <v/>
      </c>
      <c r="AA497" s="35" t="s">
        <v>24</v>
      </c>
    </row>
    <row r="498" spans="1:27" s="45" customFormat="1" ht="12.75" customHeight="1">
      <c r="A498" s="4">
        <f>IF(ISTEXT(E498),_xlfn.XLOOKUP(E498,'[1]SME09-01_LHM'!$D:$D,'[1]SME09-01_LHM'!$B:$B))</f>
        <v>628</v>
      </c>
      <c r="B498" s="4">
        <f>_xlfn.XLOOKUP(F498,'[1]SME09-01_LHM'!$I:$I,'[1]SME09-01_LHM'!$B:$B)</f>
        <v>628</v>
      </c>
      <c r="C498" s="37">
        <f>ROW()-25</f>
        <v>473</v>
      </c>
      <c r="D498" s="35" t="s">
        <v>23</v>
      </c>
      <c r="E498" s="35" t="s">
        <v>396</v>
      </c>
      <c r="F498" s="37" t="s">
        <v>395</v>
      </c>
      <c r="G498" s="37" t="s">
        <v>394</v>
      </c>
      <c r="H498" s="35" t="s">
        <v>31</v>
      </c>
      <c r="I498" s="39" t="s">
        <v>227</v>
      </c>
      <c r="J498" s="197" t="s">
        <v>66</v>
      </c>
      <c r="K498" s="196" t="s">
        <v>66</v>
      </c>
      <c r="L498" s="279"/>
      <c r="M498" s="186"/>
      <c r="N498" s="196" t="s">
        <v>17</v>
      </c>
      <c r="O498" s="7"/>
      <c r="P498" s="148" t="s">
        <v>16</v>
      </c>
      <c r="Q498" s="148" t="s">
        <v>327</v>
      </c>
      <c r="R498" s="148" t="s">
        <v>10</v>
      </c>
      <c r="S498" s="130" t="s">
        <v>24</v>
      </c>
      <c r="T498" s="149" t="s">
        <v>24</v>
      </c>
      <c r="U498" s="149" t="s">
        <v>24</v>
      </c>
      <c r="V498" s="148" t="s">
        <v>24</v>
      </c>
      <c r="W498" s="3" t="s">
        <v>10</v>
      </c>
      <c r="X498" s="3"/>
      <c r="Y498" s="182" t="str">
        <f>_xlfn.LET(_xlpm.v,_xlfn.XLOOKUP(E498,'[1]SME09-01_LHM'!$D:$D,'[1]SME09-01_LHM'!$AL:$AL),IF(_xlpm.v=0,"",_xlpm.v))</f>
        <v/>
      </c>
      <c r="Z498" s="104" t="str">
        <f>_xlfn.LET(_xlpm.v,IF(ISTEXT(Y498),_xlfn.XLOOKUP(Y498,'JP-PINT'!A:A,'JP-PINT'!B:B),""),IF(ISERROR(_xlpm.v),"",_xlpm.v))</f>
        <v/>
      </c>
      <c r="AA498" s="35" t="s">
        <v>8</v>
      </c>
    </row>
    <row r="499" spans="1:27" s="45" customFormat="1" ht="12.75" customHeight="1">
      <c r="A499" s="4">
        <f>IF(ISTEXT(E499),_xlfn.XLOOKUP(E499,'[1]SME09-01_LHM'!$D:$D,'[1]SME09-01_LHM'!$B:$B))</f>
        <v>629</v>
      </c>
      <c r="B499" s="4">
        <f>_xlfn.XLOOKUP(F499,'[1]SME09-01_LHM'!$I:$I,'[1]SME09-01_LHM'!$B:$B)</f>
        <v>629</v>
      </c>
      <c r="C499" s="37"/>
      <c r="D499" s="35"/>
      <c r="E499" s="35" t="s">
        <v>2789</v>
      </c>
      <c r="F499" s="93" t="s">
        <v>2788</v>
      </c>
      <c r="G499" s="37"/>
      <c r="H499" s="35"/>
      <c r="I499" s="39"/>
      <c r="J499" s="197"/>
      <c r="K499" s="196"/>
      <c r="L499" s="279"/>
      <c r="M499" s="186"/>
      <c r="N499" s="196"/>
      <c r="O499" s="7"/>
      <c r="P499" s="148"/>
      <c r="Q499" s="148"/>
      <c r="R499" s="148"/>
      <c r="S499" s="130"/>
      <c r="T499" s="149"/>
      <c r="U499" s="149"/>
      <c r="V499" s="148"/>
      <c r="W499" s="3"/>
      <c r="X499" s="3"/>
      <c r="Y499" s="182" t="str">
        <f>_xlfn.LET(_xlpm.v,_xlfn.XLOOKUP(E499,'[1]SME09-01_LHM'!$D:$D,'[1]SME09-01_LHM'!$AL:$AL),IF(_xlpm.v=0,"",_xlpm.v))</f>
        <v/>
      </c>
      <c r="Z499" s="104" t="str">
        <f>_xlfn.LET(_xlpm.v,IF(ISTEXT(Y499),_xlfn.XLOOKUP(Y499,'JP-PINT'!A:A,'JP-PINT'!B:B),""),IF(ISERROR(_xlpm.v),"",_xlpm.v))</f>
        <v/>
      </c>
      <c r="AA499" s="35"/>
    </row>
    <row r="500" spans="1:27" s="45" customFormat="1" ht="12.75" customHeight="1">
      <c r="A500" s="4">
        <f>IF(ISTEXT(E500),_xlfn.XLOOKUP(E500,'[1]SME09-01_LHM'!$D:$D,'[1]SME09-01_LHM'!$B:$B))</f>
        <v>630</v>
      </c>
      <c r="B500" s="4">
        <f>_xlfn.XLOOKUP(F500,'[1]SME09-01_LHM'!$I:$I,'[1]SME09-01_LHM'!$B:$B)</f>
        <v>630</v>
      </c>
      <c r="C500" s="37">
        <f>ROW()-25</f>
        <v>475</v>
      </c>
      <c r="D500" s="35" t="s">
        <v>23</v>
      </c>
      <c r="E500" s="35" t="s">
        <v>392</v>
      </c>
      <c r="F500" s="37" t="s">
        <v>391</v>
      </c>
      <c r="G500" s="37" t="s">
        <v>390</v>
      </c>
      <c r="H500" s="35" t="s">
        <v>8</v>
      </c>
      <c r="I500" s="39" t="s">
        <v>227</v>
      </c>
      <c r="J500" s="197" t="s">
        <v>18</v>
      </c>
      <c r="K500" s="196" t="s">
        <v>18</v>
      </c>
      <c r="L500" s="279"/>
      <c r="M500" s="186"/>
      <c r="N500" s="35" t="s">
        <v>27</v>
      </c>
      <c r="O500" s="202"/>
      <c r="P500" s="148" t="s">
        <v>16</v>
      </c>
      <c r="Q500" s="148" t="s">
        <v>322</v>
      </c>
      <c r="R500" s="148" t="s">
        <v>10</v>
      </c>
      <c r="S500" s="130"/>
      <c r="T500" s="153"/>
      <c r="U500" s="153" t="s">
        <v>24</v>
      </c>
      <c r="V500" s="148" t="s">
        <v>24</v>
      </c>
      <c r="W500" s="203" t="s">
        <v>10</v>
      </c>
      <c r="X500" s="203"/>
      <c r="Y500" s="182" t="str">
        <f>_xlfn.LET(_xlpm.v,_xlfn.XLOOKUP(E500,'[1]SME09-01_LHM'!$D:$D,'[1]SME09-01_LHM'!$AL:$AL),IF(_xlpm.v=0,"",_xlpm.v))</f>
        <v/>
      </c>
      <c r="Z500" s="104" t="str">
        <f>_xlfn.LET(_xlpm.v,IF(ISTEXT(Y500),_xlfn.XLOOKUP(Y500,'JP-PINT'!A:A,'JP-PINT'!B:B),""),IF(ISERROR(_xlpm.v),"",_xlpm.v))</f>
        <v/>
      </c>
      <c r="AA500" s="35" t="s">
        <v>24</v>
      </c>
    </row>
    <row r="501" spans="1:27" s="281" customFormat="1" ht="12.75" customHeight="1">
      <c r="A501" s="4">
        <f>IF(ISTEXT(E501),_xlfn.XLOOKUP(E501,'[1]SME09-01_LHM'!$D:$D,'[1]SME09-01_LHM'!$B:$B))</f>
        <v>631</v>
      </c>
      <c r="B501" s="4">
        <f>_xlfn.XLOOKUP(F501,'[1]SME09-01_LHM'!$I:$I,'[1]SME09-01_LHM'!$B:$B)</f>
        <v>631</v>
      </c>
      <c r="C501" s="37">
        <f>ROW()-25</f>
        <v>476</v>
      </c>
      <c r="D501" s="35" t="s">
        <v>23</v>
      </c>
      <c r="E501" s="35" t="s">
        <v>389</v>
      </c>
      <c r="F501" s="37" t="s">
        <v>388</v>
      </c>
      <c r="G501" s="37" t="s">
        <v>387</v>
      </c>
      <c r="H501" s="35" t="s">
        <v>31</v>
      </c>
      <c r="I501" s="39" t="s">
        <v>227</v>
      </c>
      <c r="J501" s="197" t="s">
        <v>18</v>
      </c>
      <c r="K501" s="35" t="s">
        <v>18</v>
      </c>
      <c r="L501" s="57"/>
      <c r="M501" s="186"/>
      <c r="N501" s="35" t="s">
        <v>27</v>
      </c>
      <c r="O501" s="7"/>
      <c r="P501" s="148" t="s">
        <v>16</v>
      </c>
      <c r="Q501" s="148" t="s">
        <v>318</v>
      </c>
      <c r="R501" s="148" t="s">
        <v>10</v>
      </c>
      <c r="S501" s="130" t="s">
        <v>24</v>
      </c>
      <c r="T501" s="153" t="s">
        <v>24</v>
      </c>
      <c r="U501" s="153" t="s">
        <v>24</v>
      </c>
      <c r="V501" s="148" t="s">
        <v>24</v>
      </c>
      <c r="W501" s="3" t="s">
        <v>10</v>
      </c>
      <c r="X501" s="3"/>
      <c r="Y501" s="182" t="str">
        <f>_xlfn.LET(_xlpm.v,_xlfn.XLOOKUP(E501,'[1]SME09-01_LHM'!$D:$D,'[1]SME09-01_LHM'!$AL:$AL),IF(_xlpm.v=0,"",_xlpm.v))</f>
        <v/>
      </c>
      <c r="Z501" s="104" t="str">
        <f>_xlfn.LET(_xlpm.v,IF(ISTEXT(Y501),_xlfn.XLOOKUP(Y501,'JP-PINT'!A:A,'JP-PINT'!B:B),""),IF(ISERROR(_xlpm.v),"",_xlpm.v))</f>
        <v/>
      </c>
      <c r="AA501" s="35" t="s">
        <v>24</v>
      </c>
    </row>
    <row r="502" spans="1:27" s="45" customFormat="1" ht="12.75" customHeight="1">
      <c r="A502" s="4">
        <f>IF(ISTEXT(E502),_xlfn.XLOOKUP(E502,'[1]SME09-01_LHM'!$D:$D,'[1]SME09-01_LHM'!$B:$B))</f>
        <v>632</v>
      </c>
      <c r="B502" s="4">
        <f>_xlfn.XLOOKUP(F502,'[1]SME09-01_LHM'!$I:$I,'[1]SME09-01_LHM'!$B:$B)</f>
        <v>632</v>
      </c>
      <c r="C502" s="37">
        <f>ROW()-25</f>
        <v>477</v>
      </c>
      <c r="D502" s="35" t="s">
        <v>23</v>
      </c>
      <c r="E502" s="35" t="s">
        <v>386</v>
      </c>
      <c r="F502" s="37" t="s">
        <v>385</v>
      </c>
      <c r="G502" s="37" t="s">
        <v>384</v>
      </c>
      <c r="H502" s="35" t="s">
        <v>8</v>
      </c>
      <c r="I502" s="39" t="s">
        <v>227</v>
      </c>
      <c r="J502" s="367" t="s">
        <v>18</v>
      </c>
      <c r="K502" s="35" t="s">
        <v>18</v>
      </c>
      <c r="L502" s="57"/>
      <c r="M502" s="72"/>
      <c r="N502" s="35" t="s">
        <v>27</v>
      </c>
      <c r="O502" s="7"/>
      <c r="P502" s="148" t="s">
        <v>16</v>
      </c>
      <c r="Q502" s="148" t="s">
        <v>307</v>
      </c>
      <c r="R502" s="148" t="s">
        <v>10</v>
      </c>
      <c r="S502" s="275" t="s">
        <v>24</v>
      </c>
      <c r="T502" s="277" t="s">
        <v>24</v>
      </c>
      <c r="U502" s="277" t="s">
        <v>24</v>
      </c>
      <c r="V502" s="163" t="s">
        <v>24</v>
      </c>
      <c r="W502" s="3" t="s">
        <v>10</v>
      </c>
      <c r="X502" s="3"/>
      <c r="Y502" s="182" t="str">
        <f>_xlfn.LET(_xlpm.v,_xlfn.XLOOKUP(E502,'[1]SME09-01_LHM'!$D:$D,'[1]SME09-01_LHM'!$AL:$AL),IF(_xlpm.v=0,"",_xlpm.v))</f>
        <v/>
      </c>
      <c r="Z502" s="104" t="str">
        <f>_xlfn.LET(_xlpm.v,IF(ISTEXT(Y502),_xlfn.XLOOKUP(Y502,'JP-PINT'!A:A,'JP-PINT'!B:B),""),IF(ISERROR(_xlpm.v),"",_xlpm.v))</f>
        <v/>
      </c>
      <c r="AA502" s="35" t="s">
        <v>24</v>
      </c>
    </row>
    <row r="503" spans="1:27" s="45" customFormat="1" ht="12.75" customHeight="1">
      <c r="A503" s="4">
        <f>IF(ISTEXT(E503),_xlfn.XLOOKUP(E503,'[1]SME09-01_LHM'!$D:$D,'[1]SME09-01_LHM'!$B:$B))</f>
        <v>633</v>
      </c>
      <c r="B503" s="4">
        <f>_xlfn.XLOOKUP(F503,'[1]SME09-01_LHM'!$I:$I,'[1]SME09-01_LHM'!$B:$B)</f>
        <v>633</v>
      </c>
      <c r="C503" s="22">
        <f>ROW()-25</f>
        <v>478</v>
      </c>
      <c r="D503" s="26" t="s">
        <v>23</v>
      </c>
      <c r="E503" s="26" t="s">
        <v>383</v>
      </c>
      <c r="F503" s="93" t="s">
        <v>2791</v>
      </c>
      <c r="G503" s="25" t="s">
        <v>382</v>
      </c>
      <c r="H503" s="26" t="s">
        <v>31</v>
      </c>
      <c r="I503" s="26" t="s">
        <v>74</v>
      </c>
      <c r="J503" s="199" t="s">
        <v>18</v>
      </c>
      <c r="K503" s="199" t="s">
        <v>18</v>
      </c>
      <c r="L503" s="199" t="s">
        <v>18</v>
      </c>
      <c r="M503" s="190"/>
      <c r="N503" s="23" t="s">
        <v>27</v>
      </c>
      <c r="O503" s="7"/>
      <c r="P503" s="105" t="s">
        <v>16</v>
      </c>
      <c r="Q503" s="105" t="s">
        <v>381</v>
      </c>
      <c r="R503" s="105" t="s">
        <v>25</v>
      </c>
      <c r="S503" s="104"/>
      <c r="T503" s="103" t="s">
        <v>103</v>
      </c>
      <c r="U503" s="103" t="s">
        <v>24</v>
      </c>
      <c r="V503" s="105" t="s">
        <v>24</v>
      </c>
      <c r="W503" s="3" t="s">
        <v>25</v>
      </c>
      <c r="X503" s="3" t="s">
        <v>25</v>
      </c>
      <c r="Y503" s="182" t="str">
        <f>_xlfn.LET(_xlpm.v,_xlfn.XLOOKUP(E503,'[1]SME09-01_LHM'!$D:$D,'[1]SME09-01_LHM'!$AL:$AL),IF(_xlpm.v=0,"",_xlpm.v))</f>
        <v/>
      </c>
      <c r="Z503" s="104" t="str">
        <f>_xlfn.LET(_xlpm.v,IF(ISTEXT(Y503),_xlfn.XLOOKUP(Y503,'JP-PINT'!A:A,'JP-PINT'!B:B),""),IF(ISERROR(_xlpm.v),"",_xlpm.v))</f>
        <v/>
      </c>
      <c r="AA503" s="23" t="s">
        <v>24</v>
      </c>
    </row>
    <row r="504" spans="1:27" ht="12.75" customHeight="1">
      <c r="A504" s="4">
        <f>IF(ISTEXT(E504),_xlfn.XLOOKUP(E504,'[1]SME09-01_LHM'!$D:$D,'[1]SME09-01_LHM'!$B:$B))</f>
        <v>635</v>
      </c>
      <c r="B504" s="4">
        <f>_xlfn.XLOOKUP(F504,'[1]SME09-01_LHM'!$I:$I,'[1]SME09-01_LHM'!$B:$B)</f>
        <v>635</v>
      </c>
      <c r="C504" s="22">
        <f>ROW()-25</f>
        <v>479</v>
      </c>
      <c r="D504" s="16" t="s">
        <v>23</v>
      </c>
      <c r="E504" s="16" t="s">
        <v>380</v>
      </c>
      <c r="F504" s="17" t="s">
        <v>379</v>
      </c>
      <c r="G504" s="17" t="s">
        <v>378</v>
      </c>
      <c r="H504" s="16" t="s">
        <v>8</v>
      </c>
      <c r="I504" s="16" t="s">
        <v>377</v>
      </c>
      <c r="J504" s="188" t="s">
        <v>18</v>
      </c>
      <c r="K504" s="181" t="s">
        <v>18</v>
      </c>
      <c r="L504" s="181" t="s">
        <v>18</v>
      </c>
      <c r="M504" s="186"/>
      <c r="N504" s="23" t="s">
        <v>27</v>
      </c>
      <c r="P504" s="105" t="s">
        <v>16</v>
      </c>
      <c r="Q504" s="105" t="s">
        <v>376</v>
      </c>
      <c r="R504" s="105" t="s">
        <v>10</v>
      </c>
      <c r="S504" s="104" t="s">
        <v>64</v>
      </c>
      <c r="T504" s="103" t="s">
        <v>63</v>
      </c>
      <c r="U504" s="103" t="s">
        <v>24</v>
      </c>
      <c r="V504" s="105" t="s">
        <v>24</v>
      </c>
      <c r="W504" s="56" t="s">
        <v>10</v>
      </c>
      <c r="X504" s="55" t="s">
        <v>10</v>
      </c>
      <c r="Y504" s="182" t="str">
        <f>_xlfn.LET(_xlpm.v,_xlfn.XLOOKUP(E504,'[1]SME09-01_LHM'!$D:$D,'[1]SME09-01_LHM'!$AL:$AL),IF(_xlpm.v=0,"",_xlpm.v))</f>
        <v/>
      </c>
      <c r="Z504" s="104" t="str">
        <f>_xlfn.LET(_xlpm.v,IF(ISTEXT(Y504),_xlfn.XLOOKUP(Y504,'JP-PINT'!A:A,'JP-PINT'!B:B),""),IF(ISERROR(_xlpm.v),"",_xlpm.v))</f>
        <v/>
      </c>
      <c r="AA504" s="23" t="s">
        <v>24</v>
      </c>
    </row>
    <row r="505" spans="1:27" s="6" customFormat="1" ht="12.75" customHeight="1">
      <c r="A505" s="4">
        <f>IF(ISTEXT(E505),_xlfn.XLOOKUP(E505,'[1]SME09-01_LHM'!$D:$D,'[1]SME09-01_LHM'!$B:$B))</f>
        <v>636</v>
      </c>
      <c r="B505" s="4">
        <f>_xlfn.XLOOKUP(F505,'[1]SME09-01_LHM'!$I:$I,'[1]SME09-01_LHM'!$B:$B)</f>
        <v>636</v>
      </c>
      <c r="C505" s="22">
        <f>ROW()-25</f>
        <v>480</v>
      </c>
      <c r="D505" s="26" t="s">
        <v>23</v>
      </c>
      <c r="E505" s="26" t="s">
        <v>375</v>
      </c>
      <c r="F505" s="93" t="s">
        <v>2792</v>
      </c>
      <c r="G505" s="25" t="s">
        <v>374</v>
      </c>
      <c r="H505" s="26" t="s">
        <v>31</v>
      </c>
      <c r="I505" s="26" t="s">
        <v>74</v>
      </c>
      <c r="J505" s="201" t="s">
        <v>79</v>
      </c>
      <c r="K505" s="199" t="s">
        <v>79</v>
      </c>
      <c r="L505" s="199" t="s">
        <v>79</v>
      </c>
      <c r="M505" s="189"/>
      <c r="N505" s="181" t="s">
        <v>183</v>
      </c>
      <c r="O505" s="7"/>
      <c r="P505" s="105" t="s">
        <v>16</v>
      </c>
      <c r="Q505" s="105" t="s">
        <v>373</v>
      </c>
      <c r="R505" s="105" t="s">
        <v>25</v>
      </c>
      <c r="S505" s="104"/>
      <c r="T505" s="103" t="s">
        <v>103</v>
      </c>
      <c r="U505" s="103" t="s">
        <v>24</v>
      </c>
      <c r="V505" s="105" t="s">
        <v>24</v>
      </c>
      <c r="W505" s="3" t="s">
        <v>25</v>
      </c>
      <c r="X505" s="3" t="s">
        <v>25</v>
      </c>
      <c r="Y505" s="182" t="str">
        <f>_xlfn.LET(_xlpm.v,_xlfn.XLOOKUP(E505,'[1]SME09-01_LHM'!$D:$D,'[1]SME09-01_LHM'!$AL:$AL),IF(_xlpm.v=0,"",_xlpm.v))</f>
        <v>IBG-30</v>
      </c>
      <c r="Z505" s="104" t="str">
        <f>_xlfn.LET(_xlpm.v,IF(ISTEXT(Y505),_xlfn.XLOOKUP(Y505,'JP-PINT'!A:A,'JP-PINT'!B:B),""),IF(ISERROR(_xlpm.v),"",_xlpm.v))</f>
        <v>&gt; LINE TAX INFORMATION</v>
      </c>
      <c r="AA505" s="23" t="s">
        <v>371</v>
      </c>
    </row>
    <row r="506" spans="1:27" ht="12.75" customHeight="1">
      <c r="A506" s="4">
        <f>IF(ISTEXT(E506),_xlfn.XLOOKUP(E506,'[1]SME09-01_LHM'!$D:$D,'[1]SME09-01_LHM'!$B:$B))</f>
        <v>638</v>
      </c>
      <c r="B506" s="4">
        <f>_xlfn.XLOOKUP(F506,'[1]SME09-01_LHM'!$I:$I,'[1]SME09-01_LHM'!$B:$B)</f>
        <v>638</v>
      </c>
      <c r="C506" s="22">
        <f>ROW()-25</f>
        <v>481</v>
      </c>
      <c r="D506" s="16" t="s">
        <v>359</v>
      </c>
      <c r="E506" s="16" t="s">
        <v>370</v>
      </c>
      <c r="F506" s="18" t="s">
        <v>369</v>
      </c>
      <c r="G506" s="18" t="s">
        <v>368</v>
      </c>
      <c r="H506" s="16" t="s">
        <v>8</v>
      </c>
      <c r="I506" s="21" t="s">
        <v>346</v>
      </c>
      <c r="J506" s="188" t="s">
        <v>18</v>
      </c>
      <c r="K506" s="181" t="s">
        <v>18</v>
      </c>
      <c r="L506" s="181" t="s">
        <v>18</v>
      </c>
      <c r="M506" s="186"/>
      <c r="N506" s="181" t="s">
        <v>46</v>
      </c>
      <c r="P506" s="105" t="s">
        <v>16</v>
      </c>
      <c r="Q506" s="104" t="s">
        <v>162</v>
      </c>
      <c r="R506" s="105" t="s">
        <v>10</v>
      </c>
      <c r="S506" s="104" t="s">
        <v>161</v>
      </c>
      <c r="T506" s="106" t="s">
        <v>158</v>
      </c>
      <c r="U506" s="106" t="s">
        <v>367</v>
      </c>
      <c r="V506" s="105" t="s">
        <v>366</v>
      </c>
      <c r="W506" s="3" t="s">
        <v>10</v>
      </c>
      <c r="X506" s="3" t="s">
        <v>10</v>
      </c>
      <c r="Y506" s="182" t="str">
        <f>_xlfn.LET(_xlpm.v,_xlfn.XLOOKUP(E506,'[1]SME09-01_LHM'!$D:$D,'[1]SME09-01_LHM'!$AL:$AL),IF(_xlpm.v=0,"",_xlpm.v))</f>
        <v>IBT-167</v>
      </c>
      <c r="Z506" s="104" t="str">
        <f>_xlfn.LET(_xlpm.v,IF(ISTEXT(Y506),_xlfn.XLOOKUP(Y506,'JP-PINT'!A:A,'JP-PINT'!B:B),""),IF(ISERROR(_xlpm.v),"",_xlpm.v))</f>
        <v>&gt;&gt; Tax Scheme</v>
      </c>
      <c r="AA506" s="16" t="s">
        <v>8</v>
      </c>
    </row>
    <row r="507" spans="1:27" s="6" customFormat="1" ht="12.75" customHeight="1">
      <c r="A507" s="4">
        <f>IF(ISTEXT(E507),_xlfn.XLOOKUP(E507,'[1]SME09-01_LHM'!$D:$D,'[1]SME09-01_LHM'!$B:$B))</f>
        <v>639</v>
      </c>
      <c r="B507" s="4">
        <f>_xlfn.XLOOKUP(F507,'[1]SME09-01_LHM'!$I:$I,'[1]SME09-01_LHM'!$B:$B)</f>
        <v>639</v>
      </c>
      <c r="C507" s="22">
        <f>ROW()-25</f>
        <v>482</v>
      </c>
      <c r="D507" s="50" t="s">
        <v>23</v>
      </c>
      <c r="E507" s="50" t="s">
        <v>364</v>
      </c>
      <c r="F507" s="54" t="s">
        <v>363</v>
      </c>
      <c r="G507" s="54" t="s">
        <v>362</v>
      </c>
      <c r="H507" s="16" t="s">
        <v>8</v>
      </c>
      <c r="I507" s="50" t="s">
        <v>340</v>
      </c>
      <c r="J507" s="256" t="s">
        <v>339</v>
      </c>
      <c r="K507" s="212" t="s">
        <v>339</v>
      </c>
      <c r="L507" s="212" t="s">
        <v>339</v>
      </c>
      <c r="M507" s="195" t="s">
        <v>73</v>
      </c>
      <c r="N507" s="212" t="s">
        <v>34</v>
      </c>
      <c r="O507" s="7" t="s">
        <v>79</v>
      </c>
      <c r="P507" s="154" t="s">
        <v>16</v>
      </c>
      <c r="Q507" s="154" t="s">
        <v>361</v>
      </c>
      <c r="R507" s="154" t="s">
        <v>10</v>
      </c>
      <c r="S507" s="133"/>
      <c r="T507" s="166"/>
      <c r="U507" s="70"/>
      <c r="V507" s="66"/>
      <c r="W507" s="3" t="s">
        <v>10</v>
      </c>
      <c r="X507" s="3" t="s">
        <v>10</v>
      </c>
      <c r="Y507" s="182" t="str">
        <f>_xlfn.LET(_xlpm.v,_xlfn.XLOOKUP(E507,'[1]SME09-01_LHM'!$D:$D,'[1]SME09-01_LHM'!$AL:$AL),IF(_xlpm.v=0,"",_xlpm.v))</f>
        <v>IBT-131</v>
      </c>
      <c r="Z507" s="104" t="str">
        <f>_xlfn.LET(_xlpm.v,IF(ISTEXT(Y507),_xlfn.XLOOKUP(Y507,'JP-PINT'!A:A,'JP-PINT'!B:B),""),IF(ISERROR(_xlpm.v),"",_xlpm.v))</f>
        <v>&gt; Invoice line net amount</v>
      </c>
      <c r="AA507" s="16" t="s">
        <v>31</v>
      </c>
    </row>
    <row r="508" spans="1:27" s="6" customFormat="1" ht="12.75" customHeight="1">
      <c r="A508" s="4">
        <f>IF(ISTEXT(E508),_xlfn.XLOOKUP(E508,'[1]SME09-01_LHM'!$D:$D,'[1]SME09-01_LHM'!$B:$B))</f>
        <v>640</v>
      </c>
      <c r="B508" s="4">
        <f>_xlfn.XLOOKUP(F508,'[1]SME09-01_LHM'!$I:$I,'[1]SME09-01_LHM'!$B:$B)</f>
        <v>640</v>
      </c>
      <c r="C508" s="22">
        <f>ROW()-25</f>
        <v>483</v>
      </c>
      <c r="D508" s="16" t="s">
        <v>359</v>
      </c>
      <c r="E508" s="16" t="s">
        <v>358</v>
      </c>
      <c r="F508" s="30" t="s">
        <v>357</v>
      </c>
      <c r="G508" s="18" t="s">
        <v>356</v>
      </c>
      <c r="H508" s="16" t="s">
        <v>31</v>
      </c>
      <c r="I508" s="74" t="s">
        <v>346</v>
      </c>
      <c r="J508" s="188" t="s">
        <v>80</v>
      </c>
      <c r="K508" s="181" t="s">
        <v>80</v>
      </c>
      <c r="L508" s="181" t="s">
        <v>80</v>
      </c>
      <c r="M508" s="195" t="s">
        <v>73</v>
      </c>
      <c r="N508" s="212" t="s">
        <v>34</v>
      </c>
      <c r="O508" s="53" t="s">
        <v>79</v>
      </c>
      <c r="P508" s="105" t="s">
        <v>16</v>
      </c>
      <c r="Q508" s="105" t="s">
        <v>156</v>
      </c>
      <c r="R508" s="105" t="s">
        <v>10</v>
      </c>
      <c r="S508" s="198" t="s">
        <v>159</v>
      </c>
      <c r="T508" s="71" t="s">
        <v>158</v>
      </c>
      <c r="U508" s="106" t="s">
        <v>312</v>
      </c>
      <c r="V508" s="105" t="s">
        <v>355</v>
      </c>
      <c r="W508" s="52" t="s">
        <v>10</v>
      </c>
      <c r="X508" s="52" t="s">
        <v>10</v>
      </c>
      <c r="Y508" s="182" t="str">
        <f>_xlfn.LET(_xlpm.v,_xlfn.XLOOKUP(E508,'[1]SME09-01_LHM'!$D:$D,'[1]SME09-01_LHM'!$AL:$AL),IF(_xlpm.v=0,"",_xlpm.v))</f>
        <v>IBT-151</v>
      </c>
      <c r="Z508" s="104" t="str">
        <f>_xlfn.LET(_xlpm.v,IF(ISTEXT(Y508),_xlfn.XLOOKUP(Y508,'JP-PINT'!A:A,'JP-PINT'!B:B),""),IF(ISERROR(_xlpm.v),"",_xlpm.v))</f>
        <v>&gt;&gt; Invoiced item TAX category code</v>
      </c>
      <c r="AA508" s="51" t="s">
        <v>31</v>
      </c>
    </row>
    <row r="509" spans="1:27" s="299" customFormat="1" ht="12.75" customHeight="1">
      <c r="A509" s="4">
        <f>IF(ISTEXT(E509),_xlfn.XLOOKUP(E509,'[1]SME09-01_LHM'!$D:$D,'[1]SME09-01_LHM'!$B:$B))</f>
        <v>641</v>
      </c>
      <c r="B509" s="4">
        <f>_xlfn.XLOOKUP(F509,'[1]SME09-01_LHM'!$I:$I,'[1]SME09-01_LHM'!$B:$B)</f>
        <v>641</v>
      </c>
      <c r="C509" s="22">
        <f>ROW()-25</f>
        <v>484</v>
      </c>
      <c r="D509" s="16" t="s">
        <v>23</v>
      </c>
      <c r="E509" s="31" t="s">
        <v>353</v>
      </c>
      <c r="F509" s="30" t="s">
        <v>352</v>
      </c>
      <c r="G509" s="30" t="s">
        <v>351</v>
      </c>
      <c r="H509" s="31" t="s">
        <v>8</v>
      </c>
      <c r="I509" s="31" t="s">
        <v>340</v>
      </c>
      <c r="J509" s="188" t="s">
        <v>18</v>
      </c>
      <c r="K509" s="181" t="s">
        <v>18</v>
      </c>
      <c r="L509" s="181" t="s">
        <v>18</v>
      </c>
      <c r="M509" s="186"/>
      <c r="N509" s="23" t="s">
        <v>27</v>
      </c>
      <c r="O509" s="7"/>
      <c r="P509" s="105" t="s">
        <v>16</v>
      </c>
      <c r="Q509" s="105" t="s">
        <v>350</v>
      </c>
      <c r="R509" s="105" t="s">
        <v>10</v>
      </c>
      <c r="S509" s="104"/>
      <c r="T509" s="106"/>
      <c r="U509" s="166" t="s">
        <v>24</v>
      </c>
      <c r="V509" s="154" t="s">
        <v>24</v>
      </c>
      <c r="W509" s="3" t="s">
        <v>10</v>
      </c>
      <c r="X509" s="3" t="s">
        <v>10</v>
      </c>
      <c r="Y509" s="182" t="str">
        <f>_xlfn.LET(_xlpm.v,_xlfn.XLOOKUP(E509,'[1]SME09-01_LHM'!$D:$D,'[1]SME09-01_LHM'!$AL:$AL),IF(_xlpm.v=0,"",_xlpm.v))</f>
        <v/>
      </c>
      <c r="Z509" s="104" t="str">
        <f>_xlfn.LET(_xlpm.v,IF(ISTEXT(Y509),_xlfn.XLOOKUP(Y509,'JP-PINT'!A:A,'JP-PINT'!B:B),""),IF(ISERROR(_xlpm.v),"",_xlpm.v))</f>
        <v/>
      </c>
      <c r="AA509" s="23" t="s">
        <v>24</v>
      </c>
    </row>
    <row r="510" spans="1:27" ht="12.75" customHeight="1">
      <c r="A510" s="4">
        <f>IF(ISTEXT(E510),_xlfn.XLOOKUP(E510,'[1]SME09-01_LHM'!$D:$D,'[1]SME09-01_LHM'!$B:$B))</f>
        <v>642</v>
      </c>
      <c r="B510" s="4">
        <f>_xlfn.XLOOKUP(F510,'[1]SME09-01_LHM'!$I:$I,'[1]SME09-01_LHM'!$B:$B)</f>
        <v>642</v>
      </c>
      <c r="C510" s="22">
        <f>ROW()-25</f>
        <v>485</v>
      </c>
      <c r="D510" s="212" t="s">
        <v>23</v>
      </c>
      <c r="E510" s="212" t="s">
        <v>349</v>
      </c>
      <c r="F510" s="255" t="s">
        <v>348</v>
      </c>
      <c r="G510" s="255" t="s">
        <v>347</v>
      </c>
      <c r="H510" s="16" t="s">
        <v>8</v>
      </c>
      <c r="I510" s="212" t="s">
        <v>346</v>
      </c>
      <c r="J510" s="188" t="s">
        <v>18</v>
      </c>
      <c r="K510" s="181" t="s">
        <v>18</v>
      </c>
      <c r="L510" s="181" t="s">
        <v>18</v>
      </c>
      <c r="M510" s="195" t="s">
        <v>73</v>
      </c>
      <c r="N510" s="212" t="s">
        <v>46</v>
      </c>
      <c r="O510" s="246"/>
      <c r="P510" s="217" t="s">
        <v>16</v>
      </c>
      <c r="Q510" s="217" t="s">
        <v>345</v>
      </c>
      <c r="R510" s="217" t="s">
        <v>10</v>
      </c>
      <c r="S510" s="218"/>
      <c r="T510" s="221" t="s">
        <v>103</v>
      </c>
      <c r="U510" s="219" t="s">
        <v>24</v>
      </c>
      <c r="V510" s="217" t="s">
        <v>24</v>
      </c>
      <c r="W510" s="247" t="s">
        <v>10</v>
      </c>
      <c r="X510" s="247" t="s">
        <v>10</v>
      </c>
      <c r="Y510" s="182" t="str">
        <f>_xlfn.LET(_xlpm.v,_xlfn.XLOOKUP(E510,'[1]SME09-01_LHM'!$D:$D,'[1]SME09-01_LHM'!$AL:$AL),IF(_xlpm.v=0,"",_xlpm.v))</f>
        <v>IBT-152</v>
      </c>
      <c r="Z510" s="104" t="str">
        <f>_xlfn.LET(_xlpm.v,IF(ISTEXT(Y510),_xlfn.XLOOKUP(Y510,'JP-PINT'!A:A,'JP-PINT'!B:B),""),IF(ISERROR(_xlpm.v),"",_xlpm.v))</f>
        <v>&gt;&gt; Invoiced item TAX rate</v>
      </c>
      <c r="AA510" s="248" t="s">
        <v>8</v>
      </c>
    </row>
    <row r="511" spans="1:27" s="249" customFormat="1" ht="12.75" customHeight="1">
      <c r="A511" s="4">
        <f>IF(ISTEXT(E511),_xlfn.XLOOKUP(E511,'[1]SME09-01_LHM'!$D:$D,'[1]SME09-01_LHM'!$B:$B))</f>
        <v>643</v>
      </c>
      <c r="B511" s="4">
        <f>_xlfn.XLOOKUP(F511,'[1]SME09-01_LHM'!$I:$I,'[1]SME09-01_LHM'!$B:$B)</f>
        <v>643</v>
      </c>
      <c r="C511" s="22">
        <f>ROW()-25</f>
        <v>486</v>
      </c>
      <c r="D511" s="292" t="s">
        <v>23</v>
      </c>
      <c r="E511" s="300" t="s">
        <v>343</v>
      </c>
      <c r="F511" s="301" t="s">
        <v>342</v>
      </c>
      <c r="G511" s="301" t="s">
        <v>341</v>
      </c>
      <c r="H511" s="292" t="s">
        <v>8</v>
      </c>
      <c r="I511" s="292" t="s">
        <v>340</v>
      </c>
      <c r="J511" s="188" t="s">
        <v>339</v>
      </c>
      <c r="K511" s="181" t="s">
        <v>339</v>
      </c>
      <c r="L511" s="181" t="s">
        <v>339</v>
      </c>
      <c r="M511" s="186"/>
      <c r="N511" s="23" t="s">
        <v>27</v>
      </c>
      <c r="O511" s="293"/>
      <c r="P511" s="286" t="s">
        <v>16</v>
      </c>
      <c r="Q511" s="286" t="s">
        <v>338</v>
      </c>
      <c r="R511" s="286" t="s">
        <v>10</v>
      </c>
      <c r="S511" s="290"/>
      <c r="T511" s="287"/>
      <c r="U511" s="287"/>
      <c r="V511" s="286"/>
      <c r="W511" s="294" t="s">
        <v>10</v>
      </c>
      <c r="X511" s="294" t="s">
        <v>10</v>
      </c>
      <c r="Y511" s="182" t="str">
        <f>_xlfn.LET(_xlpm.v,_xlfn.XLOOKUP(E511,'[1]SME09-01_LHM'!$D:$D,'[1]SME09-01_LHM'!$AL:$AL),IF(_xlpm.v=0,"",_xlpm.v))</f>
        <v/>
      </c>
      <c r="Z511" s="104" t="str">
        <f>_xlfn.LET(_xlpm.v,IF(ISTEXT(Y511),_xlfn.XLOOKUP(Y511,'JP-PINT'!A:A,'JP-PINT'!B:B),""),IF(ISERROR(_xlpm.v),"",_xlpm.v))</f>
        <v/>
      </c>
      <c r="AA511" s="23" t="s">
        <v>24</v>
      </c>
    </row>
    <row r="512" spans="1:27" s="296" customFormat="1" ht="12.75" customHeight="1">
      <c r="A512" s="4">
        <f>IF(ISTEXT(E512),_xlfn.XLOOKUP(E512,'[1]SME09-01_LHM'!$D:$D,'[1]SME09-01_LHM'!$B:$B))</f>
        <v>644</v>
      </c>
      <c r="B512" s="4">
        <f>_xlfn.XLOOKUP(F512,'[1]SME09-01_LHM'!$I:$I,'[1]SME09-01_LHM'!$B:$B)</f>
        <v>644</v>
      </c>
      <c r="C512" s="22">
        <f>ROW()-25</f>
        <v>487</v>
      </c>
      <c r="D512" s="212" t="s">
        <v>23</v>
      </c>
      <c r="E512" s="31" t="s">
        <v>337</v>
      </c>
      <c r="F512" s="30" t="s">
        <v>336</v>
      </c>
      <c r="G512" s="30" t="s">
        <v>335</v>
      </c>
      <c r="H512" s="31" t="s">
        <v>8</v>
      </c>
      <c r="I512" s="16" t="s">
        <v>143</v>
      </c>
      <c r="J512" s="188" t="s">
        <v>18</v>
      </c>
      <c r="K512" s="181" t="s">
        <v>18</v>
      </c>
      <c r="L512" s="181" t="s">
        <v>18</v>
      </c>
      <c r="M512" s="186"/>
      <c r="N512" s="23" t="s">
        <v>27</v>
      </c>
      <c r="O512" s="7"/>
      <c r="P512" s="217" t="s">
        <v>16</v>
      </c>
      <c r="Q512" s="104" t="s">
        <v>334</v>
      </c>
      <c r="R512" s="105" t="s">
        <v>10</v>
      </c>
      <c r="S512" s="104" t="s">
        <v>64</v>
      </c>
      <c r="T512" s="106" t="s">
        <v>63</v>
      </c>
      <c r="U512" s="106" t="s">
        <v>24</v>
      </c>
      <c r="V512" s="105" t="s">
        <v>24</v>
      </c>
      <c r="W512" s="3" t="s">
        <v>10</v>
      </c>
      <c r="X512" s="3" t="s">
        <v>10</v>
      </c>
      <c r="Y512" s="182" t="str">
        <f>_xlfn.LET(_xlpm.v,_xlfn.XLOOKUP(E512,'[1]SME09-01_LHM'!$D:$D,'[1]SME09-01_LHM'!$AL:$AL),IF(_xlpm.v=0,"",_xlpm.v))</f>
        <v/>
      </c>
      <c r="Z512" s="104" t="str">
        <f>_xlfn.LET(_xlpm.v,IF(ISTEXT(Y512),_xlfn.XLOOKUP(Y512,'JP-PINT'!A:A,'JP-PINT'!B:B),""),IF(ISERROR(_xlpm.v),"",_xlpm.v))</f>
        <v/>
      </c>
      <c r="AA512" s="23" t="s">
        <v>24</v>
      </c>
    </row>
    <row r="513" spans="1:27" ht="12.75" customHeight="1">
      <c r="A513" s="4">
        <f>IF(ISTEXT(E513),_xlfn.XLOOKUP(E513,'[1]SME09-01_LHM'!$D:$D,'[1]SME09-01_LHM'!$B:$B))</f>
        <v>645</v>
      </c>
      <c r="B513" s="4">
        <f>_xlfn.XLOOKUP(F513,'[1]SME09-01_LHM'!$I:$I,'[1]SME09-01_LHM'!$B:$B)</f>
        <v>645</v>
      </c>
      <c r="C513" s="22">
        <f>ROW()-25</f>
        <v>488</v>
      </c>
      <c r="D513" s="26" t="s">
        <v>23</v>
      </c>
      <c r="E513" s="26" t="s">
        <v>333</v>
      </c>
      <c r="F513" s="93" t="s">
        <v>2794</v>
      </c>
      <c r="G513" s="25" t="s">
        <v>332</v>
      </c>
      <c r="H513" s="26" t="s">
        <v>43</v>
      </c>
      <c r="I513" s="26" t="s">
        <v>143</v>
      </c>
      <c r="J513" s="368" t="s">
        <v>66</v>
      </c>
      <c r="K513" s="369" t="s">
        <v>66</v>
      </c>
      <c r="L513" s="245"/>
      <c r="M513" s="370"/>
      <c r="N513" s="371" t="s">
        <v>103</v>
      </c>
      <c r="O513" s="202"/>
      <c r="P513" s="105" t="s">
        <v>16</v>
      </c>
      <c r="Q513" s="105" t="s">
        <v>331</v>
      </c>
      <c r="R513" s="105" t="s">
        <v>25</v>
      </c>
      <c r="S513" s="104"/>
      <c r="T513" s="106" t="s">
        <v>103</v>
      </c>
      <c r="U513" s="106" t="s">
        <v>24</v>
      </c>
      <c r="V513" s="105" t="s">
        <v>24</v>
      </c>
      <c r="W513" s="203" t="s">
        <v>25</v>
      </c>
      <c r="X513" s="203"/>
      <c r="Y513" s="182" t="str">
        <f>_xlfn.LET(_xlpm.v,_xlfn.XLOOKUP(E513,'[1]SME09-01_LHM'!$D:$D,'[1]SME09-01_LHM'!$AL:$AL),IF(_xlpm.v=0,"",_xlpm.v))</f>
        <v/>
      </c>
      <c r="Z513" s="104" t="str">
        <f>_xlfn.LET(_xlpm.v,IF(ISTEXT(Y513),_xlfn.XLOOKUP(Y513,'JP-PINT'!A:A,'JP-PINT'!B:B),""),IF(ISERROR(_xlpm.v),"",_xlpm.v))</f>
        <v/>
      </c>
      <c r="AA513" s="23" t="s">
        <v>24</v>
      </c>
    </row>
    <row r="514" spans="1:27" s="205" customFormat="1" ht="12.75" customHeight="1">
      <c r="A514" s="4">
        <f>IF(ISTEXT(E514),_xlfn.XLOOKUP(E514,'[1]SME09-01_LHM'!$D:$D,'[1]SME09-01_LHM'!$B:$B))</f>
        <v>647</v>
      </c>
      <c r="B514" s="4">
        <f>_xlfn.XLOOKUP(F514,'[1]SME09-01_LHM'!$I:$I,'[1]SME09-01_LHM'!$B:$B)</f>
        <v>647</v>
      </c>
      <c r="C514" s="22">
        <f>ROW()-25</f>
        <v>489</v>
      </c>
      <c r="D514" s="16" t="s">
        <v>23</v>
      </c>
      <c r="E514" s="16" t="s">
        <v>330</v>
      </c>
      <c r="F514" s="18" t="s">
        <v>329</v>
      </c>
      <c r="G514" s="18" t="s">
        <v>328</v>
      </c>
      <c r="H514" s="16" t="s">
        <v>31</v>
      </c>
      <c r="I514" s="16" t="s">
        <v>143</v>
      </c>
      <c r="J514" s="188" t="s">
        <v>66</v>
      </c>
      <c r="K514" s="181" t="s">
        <v>66</v>
      </c>
      <c r="L514" s="242"/>
      <c r="M514" s="186"/>
      <c r="N514" s="181" t="s">
        <v>46</v>
      </c>
      <c r="O514" s="202"/>
      <c r="P514" s="105" t="s">
        <v>16</v>
      </c>
      <c r="Q514" s="105" t="s">
        <v>327</v>
      </c>
      <c r="R514" s="105" t="s">
        <v>10</v>
      </c>
      <c r="S514" s="104"/>
      <c r="T514" s="103" t="s">
        <v>103</v>
      </c>
      <c r="U514" s="103" t="s">
        <v>24</v>
      </c>
      <c r="V514" s="105" t="s">
        <v>24</v>
      </c>
      <c r="W514" s="203" t="s">
        <v>10</v>
      </c>
      <c r="X514" s="203"/>
      <c r="Y514" s="182" t="str">
        <f>_xlfn.LET(_xlpm.v,_xlfn.XLOOKUP(E514,'[1]SME09-01_LHM'!$D:$D,'[1]SME09-01_LHM'!$AL:$AL),IF(_xlpm.v=0,"",_xlpm.v))</f>
        <v>IBT-128</v>
      </c>
      <c r="Z514" s="104" t="str">
        <f>_xlfn.LET(_xlpm.v,IF(ISTEXT(Y514),_xlfn.XLOOKUP(Y514,'JP-PINT'!A:A,'JP-PINT'!B:B),""),IF(ISERROR(_xlpm.v),"",_xlpm.v))</f>
        <v>&gt; Invoice line object identifier</v>
      </c>
      <c r="AA514" s="204" t="s">
        <v>8</v>
      </c>
    </row>
    <row r="515" spans="1:27" s="205" customFormat="1" ht="12.75" customHeight="1">
      <c r="A515" s="4">
        <f>IF(ISTEXT(E515),_xlfn.XLOOKUP(E515,'[1]SME09-01_LHM'!$D:$D,'[1]SME09-01_LHM'!$B:$B))</f>
        <v>648</v>
      </c>
      <c r="B515" s="4">
        <f>_xlfn.XLOOKUP(F515,'[1]SME09-01_LHM'!$I:$I,'[1]SME09-01_LHM'!$B:$B)</f>
        <v>648</v>
      </c>
      <c r="C515" s="22">
        <f>ROW()-25</f>
        <v>490</v>
      </c>
      <c r="D515" s="16" t="s">
        <v>23</v>
      </c>
      <c r="E515" s="16" t="s">
        <v>325</v>
      </c>
      <c r="F515" s="18" t="s">
        <v>324</v>
      </c>
      <c r="G515" s="18" t="s">
        <v>323</v>
      </c>
      <c r="H515" s="16" t="s">
        <v>8</v>
      </c>
      <c r="I515" s="16" t="s">
        <v>143</v>
      </c>
      <c r="J515" s="188" t="s">
        <v>18</v>
      </c>
      <c r="K515" s="181" t="s">
        <v>18</v>
      </c>
      <c r="L515" s="242"/>
      <c r="M515" s="186"/>
      <c r="N515" s="23" t="s">
        <v>27</v>
      </c>
      <c r="O515" s="202"/>
      <c r="P515" s="105" t="s">
        <v>16</v>
      </c>
      <c r="Q515" s="105" t="s">
        <v>322</v>
      </c>
      <c r="R515" s="105" t="s">
        <v>10</v>
      </c>
      <c r="S515" s="104"/>
      <c r="T515" s="103"/>
      <c r="U515" s="103" t="s">
        <v>24</v>
      </c>
      <c r="V515" s="105" t="s">
        <v>24</v>
      </c>
      <c r="W515" s="203" t="s">
        <v>10</v>
      </c>
      <c r="X515" s="203"/>
      <c r="Y515" s="182" t="str">
        <f>_xlfn.LET(_xlpm.v,_xlfn.XLOOKUP(E515,'[1]SME09-01_LHM'!$D:$D,'[1]SME09-01_LHM'!$AL:$AL),IF(_xlpm.v=0,"",_xlpm.v))</f>
        <v/>
      </c>
      <c r="Z515" s="104" t="str">
        <f>_xlfn.LET(_xlpm.v,IF(ISTEXT(Y515),_xlfn.XLOOKUP(Y515,'JP-PINT'!A:A,'JP-PINT'!B:B),""),IF(ISERROR(_xlpm.v),"",_xlpm.v))</f>
        <v/>
      </c>
      <c r="AA515" s="23" t="s">
        <v>24</v>
      </c>
    </row>
    <row r="516" spans="1:27" s="205" customFormat="1" ht="12.75" customHeight="1">
      <c r="A516" s="4">
        <f>IF(ISTEXT(E516),_xlfn.XLOOKUP(E516,'[1]SME09-01_LHM'!$D:$D,'[1]SME09-01_LHM'!$B:$B))</f>
        <v>649</v>
      </c>
      <c r="B516" s="4">
        <f>_xlfn.XLOOKUP(F516,'[1]SME09-01_LHM'!$I:$I,'[1]SME09-01_LHM'!$B:$B)</f>
        <v>649</v>
      </c>
      <c r="C516" s="22">
        <f>ROW()-25</f>
        <v>491</v>
      </c>
      <c r="D516" s="16" t="s">
        <v>23</v>
      </c>
      <c r="E516" s="16" t="s">
        <v>321</v>
      </c>
      <c r="F516" s="18" t="s">
        <v>320</v>
      </c>
      <c r="G516" s="18" t="s">
        <v>319</v>
      </c>
      <c r="H516" s="16" t="s">
        <v>31</v>
      </c>
      <c r="I516" s="16" t="s">
        <v>143</v>
      </c>
      <c r="J516" s="188" t="s">
        <v>18</v>
      </c>
      <c r="K516" s="181" t="s">
        <v>18</v>
      </c>
      <c r="L516" s="242"/>
      <c r="M516" s="186"/>
      <c r="N516" s="23" t="s">
        <v>27</v>
      </c>
      <c r="O516" s="202"/>
      <c r="P516" s="105" t="s">
        <v>16</v>
      </c>
      <c r="Q516" s="105" t="s">
        <v>318</v>
      </c>
      <c r="R516" s="105" t="s">
        <v>10</v>
      </c>
      <c r="S516" s="104" t="s">
        <v>24</v>
      </c>
      <c r="T516" s="103" t="s">
        <v>24</v>
      </c>
      <c r="U516" s="103" t="s">
        <v>24</v>
      </c>
      <c r="V516" s="105" t="s">
        <v>24</v>
      </c>
      <c r="W516" s="203" t="s">
        <v>10</v>
      </c>
      <c r="X516" s="203"/>
      <c r="Y516" s="182" t="str">
        <f>_xlfn.LET(_xlpm.v,_xlfn.XLOOKUP(E516,'[1]SME09-01_LHM'!$D:$D,'[1]SME09-01_LHM'!$AL:$AL),IF(_xlpm.v=0,"",_xlpm.v))</f>
        <v/>
      </c>
      <c r="Z516" s="104" t="str">
        <f>_xlfn.LET(_xlpm.v,IF(ISTEXT(Y516),_xlfn.XLOOKUP(Y516,'JP-PINT'!A:A,'JP-PINT'!B:B),""),IF(ISERROR(_xlpm.v),"",_xlpm.v))</f>
        <v/>
      </c>
      <c r="AA516" s="23" t="s">
        <v>24</v>
      </c>
    </row>
    <row r="517" spans="1:27" s="205" customFormat="1" ht="12.75" customHeight="1">
      <c r="A517" s="4" t="e">
        <f>IF(ISTEXT(E517),_xlfn.XLOOKUP(E517,'[1]SME09-01_LHM'!$D:$D,'[1]SME09-01_LHM'!$B:$B))</f>
        <v>#N/A</v>
      </c>
      <c r="B517" s="4">
        <f>_xlfn.XLOOKUP(F517,'[1]SME09-01_LHM'!$I:$I,'[1]SME09-01_LHM'!$B:$B)</f>
        <v>583</v>
      </c>
      <c r="C517" s="22">
        <f>ROW()-25</f>
        <v>492</v>
      </c>
      <c r="D517" s="16" t="s">
        <v>23</v>
      </c>
      <c r="E517" s="16" t="s">
        <v>317</v>
      </c>
      <c r="F517" s="18" t="s">
        <v>316</v>
      </c>
      <c r="G517" s="18" t="s">
        <v>315</v>
      </c>
      <c r="H517" s="16" t="s">
        <v>8</v>
      </c>
      <c r="I517" s="16" t="s">
        <v>19</v>
      </c>
      <c r="J517" s="71" t="s">
        <v>66</v>
      </c>
      <c r="K517" s="16" t="s">
        <v>66</v>
      </c>
      <c r="L517" s="20"/>
      <c r="M517" s="68"/>
      <c r="N517" s="181" t="s">
        <v>17</v>
      </c>
      <c r="O517" s="7"/>
      <c r="P517" s="105" t="s">
        <v>16</v>
      </c>
      <c r="Q517" s="105" t="s">
        <v>314</v>
      </c>
      <c r="R517" s="105" t="s">
        <v>10</v>
      </c>
      <c r="S517" s="104" t="s">
        <v>313</v>
      </c>
      <c r="T517" s="103" t="s">
        <v>158</v>
      </c>
      <c r="U517" s="103" t="s">
        <v>312</v>
      </c>
      <c r="V517" s="105" t="s">
        <v>311</v>
      </c>
      <c r="W517" s="3" t="s">
        <v>10</v>
      </c>
      <c r="X517" s="3"/>
      <c r="Y517" s="182"/>
      <c r="Z517" s="104" t="str">
        <f>_xlfn.LET(_xlpm.v,IF(ISTEXT(Y517),_xlfn.XLOOKUP(Y517,'JP-PINT'!A:A,'JP-PINT'!B:B),""),IF(ISERROR(_xlpm.v),"",_xlpm.v))</f>
        <v/>
      </c>
      <c r="AA517" s="23" t="s">
        <v>8</v>
      </c>
    </row>
    <row r="518" spans="1:27" ht="12.75" customHeight="1">
      <c r="A518" s="4">
        <f>IF(ISTEXT(E518),_xlfn.XLOOKUP(E518,'[1]SME09-01_LHM'!$D:$D,'[1]SME09-01_LHM'!$B:$B))</f>
        <v>651</v>
      </c>
      <c r="B518" s="4">
        <f>_xlfn.XLOOKUP(F518,'[1]SME09-01_LHM'!$I:$I,'[1]SME09-01_LHM'!$B:$B)</f>
        <v>651</v>
      </c>
      <c r="C518" s="22">
        <f>ROW()-25</f>
        <v>493</v>
      </c>
      <c r="D518" s="16" t="s">
        <v>23</v>
      </c>
      <c r="E518" s="16" t="s">
        <v>310</v>
      </c>
      <c r="F518" s="18" t="s">
        <v>309</v>
      </c>
      <c r="G518" s="18" t="s">
        <v>308</v>
      </c>
      <c r="H518" s="16" t="s">
        <v>8</v>
      </c>
      <c r="I518" s="70" t="s">
        <v>143</v>
      </c>
      <c r="J518" s="70" t="s">
        <v>18</v>
      </c>
      <c r="K518" s="70" t="s">
        <v>18</v>
      </c>
      <c r="L518" s="69"/>
      <c r="M518" s="278"/>
      <c r="N518" s="23" t="s">
        <v>27</v>
      </c>
      <c r="P518" s="105" t="s">
        <v>16</v>
      </c>
      <c r="Q518" s="105" t="s">
        <v>307</v>
      </c>
      <c r="R518" s="105" t="s">
        <v>10</v>
      </c>
      <c r="S518" s="198" t="s">
        <v>24</v>
      </c>
      <c r="T518" s="71" t="s">
        <v>24</v>
      </c>
      <c r="U518" s="71" t="s">
        <v>24</v>
      </c>
      <c r="V518" s="66" t="s">
        <v>24</v>
      </c>
      <c r="W518" s="3" t="s">
        <v>10</v>
      </c>
      <c r="Y518" s="182" t="str">
        <f>_xlfn.LET(_xlpm.v,_xlfn.XLOOKUP(E518,'[1]SME09-01_LHM'!$D:$D,'[1]SME09-01_LHM'!$AL:$AL),IF(_xlpm.v=0,"",_xlpm.v))</f>
        <v/>
      </c>
      <c r="Z518" s="104" t="str">
        <f>_xlfn.LET(_xlpm.v,IF(ISTEXT(Y518),_xlfn.XLOOKUP(Y518,'JP-PINT'!A:A,'JP-PINT'!B:B),""),IF(ISERROR(_xlpm.v),"",_xlpm.v))</f>
        <v/>
      </c>
      <c r="AA518" s="23" t="s">
        <v>24</v>
      </c>
    </row>
    <row r="519" spans="1:27" s="6" customFormat="1" ht="12.75" customHeight="1">
      <c r="A519" s="4" t="e">
        <f>IF(ISTEXT(E519),_xlfn.XLOOKUP(E519,'[1]SME09-01_LHM'!$D:$D,'[1]SME09-01_LHM'!$B:$B))</f>
        <v>#N/A</v>
      </c>
      <c r="B519" s="4">
        <f>_xlfn.XLOOKUP(F519,'[1]SME09-01_LHM'!$I:$I,'[1]SME09-01_LHM'!$B:$B)</f>
        <v>587</v>
      </c>
      <c r="C519" s="22">
        <f>ROW()-25</f>
        <v>494</v>
      </c>
      <c r="D519" s="16" t="s">
        <v>23</v>
      </c>
      <c r="E519" s="16" t="s">
        <v>306</v>
      </c>
      <c r="F519" s="18" t="s">
        <v>305</v>
      </c>
      <c r="G519" s="18" t="s">
        <v>304</v>
      </c>
      <c r="H519" s="16" t="s">
        <v>8</v>
      </c>
      <c r="I519" s="16" t="s">
        <v>143</v>
      </c>
      <c r="J519" s="181" t="s">
        <v>18</v>
      </c>
      <c r="K519" s="181" t="s">
        <v>18</v>
      </c>
      <c r="L519" s="242"/>
      <c r="M519" s="187"/>
      <c r="N519" s="23" t="s">
        <v>27</v>
      </c>
      <c r="O519" s="7"/>
      <c r="P519" s="105" t="s">
        <v>16</v>
      </c>
      <c r="Q519" s="105" t="s">
        <v>303</v>
      </c>
      <c r="R519" s="105" t="s">
        <v>10</v>
      </c>
      <c r="S519" s="104" t="s">
        <v>302</v>
      </c>
      <c r="T519" s="103" t="s">
        <v>158</v>
      </c>
      <c r="U519" s="103" t="s">
        <v>24</v>
      </c>
      <c r="V519" s="105" t="s">
        <v>24</v>
      </c>
      <c r="W519" s="3" t="s">
        <v>10</v>
      </c>
      <c r="X519" s="3"/>
      <c r="Y519" s="182"/>
      <c r="Z519" s="104" t="str">
        <f>_xlfn.LET(_xlpm.v,IF(ISTEXT(Y519),_xlfn.XLOOKUP(Y519,'JP-PINT'!A:A,'JP-PINT'!B:B),""),IF(ISERROR(_xlpm.v),"",_xlpm.v))</f>
        <v/>
      </c>
      <c r="AA519" s="23" t="s">
        <v>24</v>
      </c>
    </row>
    <row r="520" spans="1:27" ht="12.75" customHeight="1">
      <c r="A520" s="4" t="e">
        <f>IF(ISTEXT(E520),_xlfn.XLOOKUP(E520,'[1]SME09-01_LHM'!$D:$D,'[1]SME09-01_LHM'!$B:$B))</f>
        <v>#N/A</v>
      </c>
      <c r="B520" s="4">
        <f>_xlfn.XLOOKUP(F520,'[1]SME09-01_LHM'!$I:$I,'[1]SME09-01_LHM'!$B:$B)</f>
        <v>596</v>
      </c>
      <c r="C520" s="22">
        <f>ROW()-25</f>
        <v>495</v>
      </c>
      <c r="D520" s="16" t="s">
        <v>23</v>
      </c>
      <c r="E520" s="16" t="s">
        <v>301</v>
      </c>
      <c r="F520" s="18" t="s">
        <v>300</v>
      </c>
      <c r="G520" s="18" t="s">
        <v>299</v>
      </c>
      <c r="H520" s="16" t="s">
        <v>8</v>
      </c>
      <c r="I520" s="16" t="s">
        <v>143</v>
      </c>
      <c r="J520" s="188" t="s">
        <v>18</v>
      </c>
      <c r="K520" s="181" t="s">
        <v>18</v>
      </c>
      <c r="L520" s="242"/>
      <c r="M520" s="186"/>
      <c r="N520" s="23" t="s">
        <v>27</v>
      </c>
      <c r="O520" s="202"/>
      <c r="P520" s="105" t="s">
        <v>16</v>
      </c>
      <c r="Q520" s="102" t="s">
        <v>298</v>
      </c>
      <c r="R520" s="105" t="s">
        <v>10</v>
      </c>
      <c r="S520" s="104" t="s">
        <v>297</v>
      </c>
      <c r="T520" s="106" t="s">
        <v>296</v>
      </c>
      <c r="U520" s="106" t="s">
        <v>24</v>
      </c>
      <c r="V520" s="105" t="s">
        <v>24</v>
      </c>
      <c r="W520" s="203" t="s">
        <v>10</v>
      </c>
      <c r="X520" s="203"/>
      <c r="Y520" s="182"/>
      <c r="Z520" s="104" t="str">
        <f>_xlfn.LET(_xlpm.v,IF(ISTEXT(Y520),_xlfn.XLOOKUP(Y520,'JP-PINT'!A:A,'JP-PINT'!B:B),""),IF(ISERROR(_xlpm.v),"",_xlpm.v))</f>
        <v/>
      </c>
      <c r="AA520" s="23" t="s">
        <v>24</v>
      </c>
    </row>
    <row r="521" spans="1:27" s="205" customFormat="1" ht="12.75" customHeight="1">
      <c r="A521" s="4">
        <f>IF(ISTEXT(E521),_xlfn.XLOOKUP(E521,'[1]SME09-01_LHM'!$D:$D,'[1]SME09-01_LHM'!$B:$B))</f>
        <v>652</v>
      </c>
      <c r="B521" s="4">
        <f>_xlfn.XLOOKUP(F521,'[1]SME09-01_LHM'!$I:$I,'[1]SME09-01_LHM'!$B:$B)</f>
        <v>652</v>
      </c>
      <c r="C521" s="22">
        <f>ROW()-25</f>
        <v>496</v>
      </c>
      <c r="D521" s="26" t="s">
        <v>23</v>
      </c>
      <c r="E521" s="26" t="s">
        <v>295</v>
      </c>
      <c r="F521" s="93" t="s">
        <v>2795</v>
      </c>
      <c r="G521" s="25" t="s">
        <v>294</v>
      </c>
      <c r="H521" s="26" t="s">
        <v>251</v>
      </c>
      <c r="I521" s="26" t="s">
        <v>143</v>
      </c>
      <c r="J521" s="372" t="s">
        <v>271</v>
      </c>
      <c r="K521" s="373" t="s">
        <v>271</v>
      </c>
      <c r="L521" s="373" t="s">
        <v>271</v>
      </c>
      <c r="M521" s="345"/>
      <c r="N521" s="23"/>
      <c r="O521" s="7"/>
      <c r="P521" s="105" t="s">
        <v>16</v>
      </c>
      <c r="Q521" s="104" t="s">
        <v>250</v>
      </c>
      <c r="R521" s="105" t="s">
        <v>25</v>
      </c>
      <c r="S521" s="104"/>
      <c r="T521" s="106" t="s">
        <v>103</v>
      </c>
      <c r="U521" s="106" t="s">
        <v>24</v>
      </c>
      <c r="V521" s="105" t="s">
        <v>24</v>
      </c>
      <c r="W521" s="3" t="s">
        <v>25</v>
      </c>
      <c r="X521" s="3" t="s">
        <v>25</v>
      </c>
      <c r="Y521" s="182" t="str">
        <f>_xlfn.LET(_xlpm.v,_xlfn.XLOOKUP(E521,'[1]SME09-01_LHM'!$D:$D,'[1]SME09-01_LHM'!$AL:$AL),IF(_xlpm.v=0,"",_xlpm.v))</f>
        <v/>
      </c>
      <c r="Z521" s="104" t="str">
        <f>_xlfn.LET(_xlpm.v,IF(ISTEXT(Y521),_xlfn.XLOOKUP(Y521,'JP-PINT'!A:A,'JP-PINT'!B:B),""),IF(ISERROR(_xlpm.v),"",_xlpm.v))</f>
        <v/>
      </c>
      <c r="AA521" s="23" t="s">
        <v>24</v>
      </c>
    </row>
    <row r="522" spans="1:27" s="137" customFormat="1" ht="12.75" customHeight="1">
      <c r="A522" s="4">
        <f>IF(ISTEXT(E522),_xlfn.XLOOKUP(E522,'[1]SME09-01_LHM'!$D:$D,'[1]SME09-01_LHM'!$B:$B))</f>
        <v>654</v>
      </c>
      <c r="B522" s="4">
        <f>_xlfn.XLOOKUP(F522,'[1]SME09-01_LHM'!$I:$I,'[1]SME09-01_LHM'!$B:$B)</f>
        <v>654</v>
      </c>
      <c r="C522" s="102">
        <f>ROW()-25</f>
        <v>497</v>
      </c>
      <c r="D522" s="103" t="s">
        <v>23</v>
      </c>
      <c r="E522" s="103" t="s">
        <v>293</v>
      </c>
      <c r="F522" s="105" t="s">
        <v>292</v>
      </c>
      <c r="G522" s="105" t="s">
        <v>291</v>
      </c>
      <c r="H522" s="103" t="s">
        <v>8</v>
      </c>
      <c r="I522" s="103" t="s">
        <v>143</v>
      </c>
      <c r="J522" s="374" t="s">
        <v>271</v>
      </c>
      <c r="K522" s="375" t="s">
        <v>271</v>
      </c>
      <c r="L522" s="375" t="s">
        <v>271</v>
      </c>
      <c r="M522" s="376"/>
      <c r="N522" s="138"/>
      <c r="O522" s="136"/>
      <c r="P522" s="105" t="s">
        <v>16</v>
      </c>
      <c r="Q522" s="105" t="s">
        <v>246</v>
      </c>
      <c r="R522" s="105" t="s">
        <v>10</v>
      </c>
      <c r="S522" s="104" t="s">
        <v>245</v>
      </c>
      <c r="T522" s="106" t="s">
        <v>158</v>
      </c>
      <c r="U522" s="106" t="s">
        <v>244</v>
      </c>
      <c r="V522" s="105" t="s">
        <v>290</v>
      </c>
      <c r="W522" s="107" t="s">
        <v>10</v>
      </c>
      <c r="X522" s="107" t="s">
        <v>10</v>
      </c>
      <c r="Y522" s="192" t="str">
        <f>_xlfn.LET(_xlpm.v,_xlfn.XLOOKUP(E522,'[1]SME09-01_LHM'!$D:$D,'[1]SME09-01_LHM'!$AL:$AL),IF(_xlpm.v=0,"",_xlpm.v))</f>
        <v/>
      </c>
      <c r="Z522" s="104" t="str">
        <f>_xlfn.LET(_xlpm.v,IF(ISTEXT(Y522),_xlfn.XLOOKUP(Y522,'JP-PINT'!A:A,'JP-PINT'!B:B),""),IF(ISERROR(_xlpm.v),"",_xlpm.v))</f>
        <v/>
      </c>
      <c r="AA522" s="138" t="s">
        <v>24</v>
      </c>
    </row>
    <row r="523" spans="1:27" ht="12.75" customHeight="1">
      <c r="A523" s="4">
        <f>IF(ISTEXT(E523),_xlfn.XLOOKUP(E523,'[1]SME09-01_LHM'!$D:$D,'[1]SME09-01_LHM'!$B:$B))</f>
        <v>655</v>
      </c>
      <c r="B523" s="4">
        <f>_xlfn.XLOOKUP(F523,'[1]SME09-01_LHM'!$I:$I,'[1]SME09-01_LHM'!$B:$B)</f>
        <v>655</v>
      </c>
      <c r="C523" s="22">
        <f>ROW()-25</f>
        <v>498</v>
      </c>
      <c r="D523" s="16" t="s">
        <v>23</v>
      </c>
      <c r="E523" s="16" t="s">
        <v>289</v>
      </c>
      <c r="F523" s="18" t="s">
        <v>288</v>
      </c>
      <c r="G523" s="18" t="s">
        <v>240</v>
      </c>
      <c r="H523" s="16" t="s">
        <v>8</v>
      </c>
      <c r="I523" s="16" t="s">
        <v>143</v>
      </c>
      <c r="J523" s="284" t="s">
        <v>271</v>
      </c>
      <c r="K523" s="284" t="s">
        <v>271</v>
      </c>
      <c r="L523" s="284" t="s">
        <v>271</v>
      </c>
      <c r="M523" s="338"/>
      <c r="N523" s="23"/>
      <c r="P523" s="105" t="s">
        <v>16</v>
      </c>
      <c r="Q523" s="105" t="s">
        <v>239</v>
      </c>
      <c r="R523" s="105" t="s">
        <v>10</v>
      </c>
      <c r="S523" s="104"/>
      <c r="T523" s="106"/>
      <c r="U523" s="106" t="s">
        <v>24</v>
      </c>
      <c r="V523" s="105" t="s">
        <v>24</v>
      </c>
      <c r="W523" s="3" t="s">
        <v>10</v>
      </c>
      <c r="X523" s="3" t="s">
        <v>10</v>
      </c>
      <c r="Y523" s="182" t="str">
        <f>_xlfn.LET(_xlpm.v,_xlfn.XLOOKUP(E523,'[1]SME09-01_LHM'!$D:$D,'[1]SME09-01_LHM'!$AL:$AL),IF(_xlpm.v=0,"",_xlpm.v))</f>
        <v/>
      </c>
      <c r="Z523" s="104" t="str">
        <f>_xlfn.LET(_xlpm.v,IF(ISTEXT(Y523),_xlfn.XLOOKUP(Y523,'JP-PINT'!A:A,'JP-PINT'!B:B),""),IF(ISERROR(_xlpm.v),"",_xlpm.v))</f>
        <v/>
      </c>
      <c r="AA523" s="23" t="s">
        <v>24</v>
      </c>
    </row>
    <row r="524" spans="1:27" ht="12.75" customHeight="1">
      <c r="A524" s="4">
        <f>IF(ISTEXT(E524),_xlfn.XLOOKUP(E524,'[1]SME09-01_LHM'!$D:$D,'[1]SME09-01_LHM'!$B:$B))</f>
        <v>656</v>
      </c>
      <c r="B524" s="4">
        <f>_xlfn.XLOOKUP(F524,'[1]SME09-01_LHM'!$I:$I,'[1]SME09-01_LHM'!$B:$B)</f>
        <v>656</v>
      </c>
      <c r="C524" s="22">
        <f>ROW()-25</f>
        <v>499</v>
      </c>
      <c r="D524" s="16" t="s">
        <v>23</v>
      </c>
      <c r="E524" s="16" t="s">
        <v>287</v>
      </c>
      <c r="F524" s="18" t="s">
        <v>286</v>
      </c>
      <c r="G524" s="18" t="s">
        <v>285</v>
      </c>
      <c r="H524" s="16" t="s">
        <v>8</v>
      </c>
      <c r="I524" s="16" t="s">
        <v>143</v>
      </c>
      <c r="J524" s="284" t="s">
        <v>271</v>
      </c>
      <c r="K524" s="284" t="s">
        <v>271</v>
      </c>
      <c r="L524" s="284" t="s">
        <v>271</v>
      </c>
      <c r="M524" s="338"/>
      <c r="N524" s="23"/>
      <c r="P524" s="105" t="s">
        <v>16</v>
      </c>
      <c r="Q524" s="105" t="s">
        <v>235</v>
      </c>
      <c r="R524" s="105" t="s">
        <v>10</v>
      </c>
      <c r="S524" s="104"/>
      <c r="T524" s="106"/>
      <c r="U524" s="106" t="s">
        <v>24</v>
      </c>
      <c r="V524" s="105" t="s">
        <v>24</v>
      </c>
      <c r="W524" s="3" t="s">
        <v>10</v>
      </c>
      <c r="X524" s="3" t="s">
        <v>10</v>
      </c>
      <c r="Y524" s="182" t="str">
        <f>_xlfn.LET(_xlpm.v,_xlfn.XLOOKUP(E524,'[1]SME09-01_LHM'!$D:$D,'[1]SME09-01_LHM'!$AL:$AL),IF(_xlpm.v=0,"",_xlpm.v))</f>
        <v/>
      </c>
      <c r="Z524" s="104" t="str">
        <f>_xlfn.LET(_xlpm.v,IF(ISTEXT(Y524),_xlfn.XLOOKUP(Y524,'JP-PINT'!A:A,'JP-PINT'!B:B),""),IF(ISERROR(_xlpm.v),"",_xlpm.v))</f>
        <v/>
      </c>
      <c r="AA524" s="23" t="s">
        <v>24</v>
      </c>
    </row>
    <row r="525" spans="1:27" ht="12.75" customHeight="1">
      <c r="A525" s="4">
        <f>IF(ISTEXT(E525),_xlfn.XLOOKUP(E525,'[1]SME09-01_LHM'!$D:$D,'[1]SME09-01_LHM'!$B:$B))</f>
        <v>657</v>
      </c>
      <c r="B525" s="4">
        <f>_xlfn.XLOOKUP(F525,'[1]SME09-01_LHM'!$I:$I,'[1]SME09-01_LHM'!$B:$B)</f>
        <v>657</v>
      </c>
      <c r="C525" s="18">
        <f>ROW()-25</f>
        <v>500</v>
      </c>
      <c r="D525" s="26" t="s">
        <v>23</v>
      </c>
      <c r="E525" s="26" t="s">
        <v>284</v>
      </c>
      <c r="F525" s="27" t="s">
        <v>283</v>
      </c>
      <c r="G525" s="27" t="s">
        <v>282</v>
      </c>
      <c r="H525" s="26" t="s">
        <v>28</v>
      </c>
      <c r="I525" s="39" t="s">
        <v>227</v>
      </c>
      <c r="J525" s="269" t="s">
        <v>271</v>
      </c>
      <c r="K525" s="269" t="s">
        <v>271</v>
      </c>
      <c r="L525" s="269" t="s">
        <v>271</v>
      </c>
      <c r="M525" s="189"/>
      <c r="N525" s="16"/>
      <c r="O525" s="3"/>
      <c r="P525" s="105" t="s">
        <v>225</v>
      </c>
      <c r="Q525" s="105" t="s">
        <v>281</v>
      </c>
      <c r="R525" s="105" t="s">
        <v>231</v>
      </c>
      <c r="S525" s="105"/>
      <c r="T525" s="106"/>
      <c r="U525" s="106"/>
      <c r="V525" s="104"/>
      <c r="W525" s="3" t="s">
        <v>25</v>
      </c>
      <c r="X525" s="3" t="s">
        <v>25</v>
      </c>
      <c r="Y525" s="182" t="str">
        <f>_xlfn.LET(_xlpm.v,_xlfn.XLOOKUP(E525,'[1]SME09-01_LHM'!$D:$D,'[1]SME09-01_LHM'!$AL:$AL),IF(_xlpm.v=0,"",_xlpm.v))</f>
        <v/>
      </c>
      <c r="Z525" s="104" t="str">
        <f>_xlfn.LET(_xlpm.v,IF(ISTEXT(Y525),_xlfn.XLOOKUP(Y525,'JP-PINT'!A:A,'JP-PINT'!B:B),""),IF(ISERROR(_xlpm.v),"",_xlpm.v))</f>
        <v/>
      </c>
      <c r="AA525" s="16"/>
    </row>
    <row r="526" spans="1:27" s="45" customFormat="1" ht="12.75" customHeight="1">
      <c r="A526" s="4">
        <f>IF(ISTEXT(E526),_xlfn.XLOOKUP(E526,'[1]SME09-01_LHM'!$D:$D,'[1]SME09-01_LHM'!$B:$B))</f>
        <v>658.1</v>
      </c>
      <c r="B526" s="4">
        <f>_xlfn.XLOOKUP(F526,'[1]SME09-01_LHM'!$I:$I,'[1]SME09-01_LHM'!$B:$B)</f>
        <v>658.1</v>
      </c>
      <c r="C526" s="44"/>
      <c r="D526" s="47"/>
      <c r="E526" s="47" t="s">
        <v>2797</v>
      </c>
      <c r="F526" s="101" t="s">
        <v>2796</v>
      </c>
      <c r="G526" s="36" t="s">
        <v>163</v>
      </c>
      <c r="H526" s="35"/>
      <c r="I526" s="35"/>
      <c r="J526" s="197"/>
      <c r="K526" s="197"/>
      <c r="L526" s="197"/>
      <c r="M526" s="197"/>
      <c r="N526" s="35"/>
      <c r="P526" s="148"/>
      <c r="Q526" s="148" t="s">
        <v>162</v>
      </c>
      <c r="R526" s="148" t="s">
        <v>10</v>
      </c>
      <c r="S526" s="148" t="s">
        <v>161</v>
      </c>
      <c r="T526" s="149" t="s">
        <v>158</v>
      </c>
      <c r="U526" s="149"/>
      <c r="V526" s="130"/>
      <c r="Y526" s="182" t="str">
        <f>_xlfn.LET(_xlpm.v,_xlfn.XLOOKUP(E526,'[1]SME09-01_LHM'!$D:$D,'[1]SME09-01_LHM'!$AL:$AL),IF(_xlpm.v=0,"",_xlpm.v))</f>
        <v/>
      </c>
      <c r="Z526" s="104" t="str">
        <f>_xlfn.LET(_xlpm.v,IF(ISTEXT(Y526),_xlfn.XLOOKUP(Y526,'JP-PINT'!A:A,'JP-PINT'!B:B),""),IF(ISERROR(_xlpm.v),"",_xlpm.v))</f>
        <v/>
      </c>
      <c r="AA526" s="35"/>
    </row>
    <row r="527" spans="1:27" s="6" customFormat="1" ht="12.75" customHeight="1">
      <c r="A527" s="4">
        <f>IF(ISTEXT(E527),_xlfn.XLOOKUP(E527,'[1]SME09-01_LHM'!$D:$D,'[1]SME09-01_LHM'!$B:$B))</f>
        <v>659</v>
      </c>
      <c r="B527" s="4">
        <f>_xlfn.XLOOKUP(F527,'[1]SME09-01_LHM'!$I:$I,'[1]SME09-01_LHM'!$B:$B)</f>
        <v>659</v>
      </c>
      <c r="C527" s="18">
        <f>ROW()-25</f>
        <v>502</v>
      </c>
      <c r="D527" s="16" t="s">
        <v>23</v>
      </c>
      <c r="E527" s="16" t="s">
        <v>280</v>
      </c>
      <c r="F527" s="17" t="s">
        <v>279</v>
      </c>
      <c r="G527" s="17" t="s">
        <v>278</v>
      </c>
      <c r="H527" s="16" t="s">
        <v>8</v>
      </c>
      <c r="I527" s="39" t="s">
        <v>227</v>
      </c>
      <c r="J527" s="197" t="s">
        <v>271</v>
      </c>
      <c r="K527" s="197" t="s">
        <v>271</v>
      </c>
      <c r="L527" s="197" t="s">
        <v>271</v>
      </c>
      <c r="M527" s="186"/>
      <c r="N527" s="16"/>
      <c r="O527" s="3"/>
      <c r="P527" s="105" t="s">
        <v>225</v>
      </c>
      <c r="Q527" s="105" t="s">
        <v>277</v>
      </c>
      <c r="R527" s="105" t="s">
        <v>10</v>
      </c>
      <c r="S527" s="105" t="s">
        <v>159</v>
      </c>
      <c r="T527" s="106" t="s">
        <v>158</v>
      </c>
      <c r="U527" s="106" t="s">
        <v>276</v>
      </c>
      <c r="V527" s="104" t="s">
        <v>275</v>
      </c>
      <c r="W527" s="3" t="s">
        <v>10</v>
      </c>
      <c r="X527" s="3" t="s">
        <v>10</v>
      </c>
      <c r="Y527" s="182" t="str">
        <f>_xlfn.LET(_xlpm.v,_xlfn.XLOOKUP(E527,'[1]SME09-01_LHM'!$D:$D,'[1]SME09-01_LHM'!$AL:$AL),IF(_xlpm.v=0,"",_xlpm.v))</f>
        <v/>
      </c>
      <c r="Z527" s="104" t="str">
        <f>_xlfn.LET(_xlpm.v,IF(ISTEXT(Y527),_xlfn.XLOOKUP(Y527,'JP-PINT'!A:A,'JP-PINT'!B:B),""),IF(ISERROR(_xlpm.v),"",_xlpm.v))</f>
        <v/>
      </c>
      <c r="AA527" s="16"/>
    </row>
    <row r="528" spans="1:27" s="6" customFormat="1" ht="12.75" customHeight="1">
      <c r="A528" s="4">
        <f>IF(ISTEXT(E528),_xlfn.XLOOKUP(E528,'[1]SME09-01_LHM'!$D:$D,'[1]SME09-01_LHM'!$B:$B))</f>
        <v>660</v>
      </c>
      <c r="B528" s="4">
        <f>_xlfn.XLOOKUP(F528,'[1]SME09-01_LHM'!$I:$I,'[1]SME09-01_LHM'!$B:$B)</f>
        <v>660</v>
      </c>
      <c r="C528" s="18">
        <f>ROW()-25</f>
        <v>503</v>
      </c>
      <c r="D528" s="16" t="s">
        <v>23</v>
      </c>
      <c r="E528" s="16" t="s">
        <v>274</v>
      </c>
      <c r="F528" s="17" t="s">
        <v>273</v>
      </c>
      <c r="G528" s="17" t="s">
        <v>272</v>
      </c>
      <c r="H528" s="16" t="s">
        <v>8</v>
      </c>
      <c r="I528" s="39" t="s">
        <v>227</v>
      </c>
      <c r="J528" s="197" t="s">
        <v>271</v>
      </c>
      <c r="K528" s="197" t="s">
        <v>271</v>
      </c>
      <c r="L528" s="197" t="s">
        <v>271</v>
      </c>
      <c r="M528" s="186"/>
      <c r="N528" s="16"/>
      <c r="O528" s="3"/>
      <c r="P528" s="105" t="s">
        <v>225</v>
      </c>
      <c r="Q528" s="105" t="s">
        <v>156</v>
      </c>
      <c r="R528" s="105" t="s">
        <v>10</v>
      </c>
      <c r="S528" s="105"/>
      <c r="T528" s="106"/>
      <c r="U528" s="106"/>
      <c r="V528" s="104"/>
      <c r="W528" s="3" t="s">
        <v>10</v>
      </c>
      <c r="X528" s="3" t="s">
        <v>10</v>
      </c>
      <c r="Y528" s="182" t="str">
        <f>_xlfn.LET(_xlpm.v,_xlfn.XLOOKUP(E528,'[1]SME09-01_LHM'!$D:$D,'[1]SME09-01_LHM'!$AL:$AL),IF(_xlpm.v=0,"",_xlpm.v))</f>
        <v/>
      </c>
      <c r="Z528" s="104" t="str">
        <f>_xlfn.LET(_xlpm.v,IF(ISTEXT(Y528),_xlfn.XLOOKUP(Y528,'JP-PINT'!A:A,'JP-PINT'!B:B),""),IF(ISERROR(_xlpm.v),"",_xlpm.v))</f>
        <v/>
      </c>
      <c r="AA528" s="16"/>
    </row>
    <row r="529" spans="1:27" s="6" customFormat="1" ht="12.75" customHeight="1">
      <c r="A529" s="4">
        <f>IF(ISTEXT(E529),_xlfn.XLOOKUP(E529,'[1]SME09-01_LHM'!$D:$D,'[1]SME09-01_LHM'!$B:$B))</f>
        <v>661</v>
      </c>
      <c r="B529" s="4">
        <f>_xlfn.XLOOKUP(F529,'[1]SME09-01_LHM'!$I:$I,'[1]SME09-01_LHM'!$B:$B)</f>
        <v>661</v>
      </c>
      <c r="C529" s="22">
        <f>ROW()-25</f>
        <v>504</v>
      </c>
      <c r="D529" s="26" t="s">
        <v>23</v>
      </c>
      <c r="E529" s="26" t="s">
        <v>270</v>
      </c>
      <c r="F529" s="25" t="s">
        <v>2798</v>
      </c>
      <c r="G529" s="25" t="s">
        <v>269</v>
      </c>
      <c r="H529" s="26" t="s">
        <v>251</v>
      </c>
      <c r="I529" s="39" t="s">
        <v>227</v>
      </c>
      <c r="J529" s="372" t="s">
        <v>256</v>
      </c>
      <c r="K529" s="372" t="s">
        <v>256</v>
      </c>
      <c r="L529" s="372" t="s">
        <v>256</v>
      </c>
      <c r="M529" s="345"/>
      <c r="N529" s="23"/>
      <c r="O529" s="7"/>
      <c r="P529" s="105" t="s">
        <v>16</v>
      </c>
      <c r="Q529" s="104" t="s">
        <v>250</v>
      </c>
      <c r="R529" s="105" t="s">
        <v>25</v>
      </c>
      <c r="S529" s="104"/>
      <c r="T529" s="106" t="s">
        <v>103</v>
      </c>
      <c r="U529" s="106" t="s">
        <v>24</v>
      </c>
      <c r="V529" s="105" t="s">
        <v>24</v>
      </c>
      <c r="W529" s="3" t="s">
        <v>25</v>
      </c>
      <c r="X529" s="3" t="s">
        <v>25</v>
      </c>
      <c r="Y529" s="182" t="str">
        <f>_xlfn.LET(_xlpm.v,_xlfn.XLOOKUP(E529,'[1]SME09-01_LHM'!$D:$D,'[1]SME09-01_LHM'!$AL:$AL),IF(_xlpm.v=0,"",_xlpm.v))</f>
        <v/>
      </c>
      <c r="Z529" s="104" t="str">
        <f>_xlfn.LET(_xlpm.v,IF(ISTEXT(Y529),_xlfn.XLOOKUP(Y529,'JP-PINT'!A:A,'JP-PINT'!B:B),""),IF(ISERROR(_xlpm.v),"",_xlpm.v))</f>
        <v/>
      </c>
      <c r="AA529" s="23" t="s">
        <v>24</v>
      </c>
    </row>
    <row r="530" spans="1:27" s="137" customFormat="1" ht="12.75" customHeight="1">
      <c r="A530" s="4">
        <f>IF(ISTEXT(E530),_xlfn.XLOOKUP(E530,'[1]SME09-01_LHM'!$D:$D,'[1]SME09-01_LHM'!$B:$B))</f>
        <v>663</v>
      </c>
      <c r="B530" s="4">
        <f>_xlfn.XLOOKUP(F530,'[1]SME09-01_LHM'!$I:$I,'[1]SME09-01_LHM'!$B:$B)</f>
        <v>663</v>
      </c>
      <c r="C530" s="102">
        <f>ROW()-25</f>
        <v>505</v>
      </c>
      <c r="D530" s="103" t="s">
        <v>23</v>
      </c>
      <c r="E530" s="103" t="s">
        <v>268</v>
      </c>
      <c r="F530" s="105" t="s">
        <v>267</v>
      </c>
      <c r="G530" s="105" t="s">
        <v>266</v>
      </c>
      <c r="H530" s="103" t="s">
        <v>8</v>
      </c>
      <c r="I530" s="153" t="s">
        <v>227</v>
      </c>
      <c r="J530" s="374" t="s">
        <v>256</v>
      </c>
      <c r="K530" s="374" t="s">
        <v>256</v>
      </c>
      <c r="L530" s="374" t="s">
        <v>256</v>
      </c>
      <c r="M530" s="376"/>
      <c r="N530" s="138"/>
      <c r="O530" s="136"/>
      <c r="P530" s="105" t="s">
        <v>16</v>
      </c>
      <c r="Q530" s="105" t="s">
        <v>246</v>
      </c>
      <c r="R530" s="105" t="s">
        <v>10</v>
      </c>
      <c r="S530" s="104" t="s">
        <v>245</v>
      </c>
      <c r="T530" s="106" t="s">
        <v>158</v>
      </c>
      <c r="U530" s="106" t="s">
        <v>244</v>
      </c>
      <c r="V530" s="152" t="s">
        <v>265</v>
      </c>
      <c r="W530" s="107" t="s">
        <v>10</v>
      </c>
      <c r="X530" s="107" t="s">
        <v>10</v>
      </c>
      <c r="Y530" s="192" t="str">
        <f>_xlfn.LET(_xlpm.v,_xlfn.XLOOKUP(E530,'[1]SME09-01_LHM'!$D:$D,'[1]SME09-01_LHM'!$AL:$AL),IF(_xlpm.v=0,"",_xlpm.v))</f>
        <v/>
      </c>
      <c r="Z530" s="104" t="str">
        <f>_xlfn.LET(_xlpm.v,IF(ISTEXT(Y530),_xlfn.XLOOKUP(Y530,'JP-PINT'!A:A,'JP-PINT'!B:B),""),IF(ISERROR(_xlpm.v),"",_xlpm.v))</f>
        <v/>
      </c>
      <c r="AA530" s="138" t="s">
        <v>24</v>
      </c>
    </row>
    <row r="531" spans="1:27" ht="12.75" customHeight="1">
      <c r="A531" s="4">
        <f>IF(ISTEXT(E531),_xlfn.XLOOKUP(E531,'[1]SME09-01_LHM'!$D:$D,'[1]SME09-01_LHM'!$B:$B))</f>
        <v>664</v>
      </c>
      <c r="B531" s="4">
        <f>_xlfn.XLOOKUP(F531,'[1]SME09-01_LHM'!$I:$I,'[1]SME09-01_LHM'!$B:$B)</f>
        <v>664</v>
      </c>
      <c r="C531" s="22">
        <f>ROW()-25</f>
        <v>506</v>
      </c>
      <c r="D531" s="16" t="s">
        <v>23</v>
      </c>
      <c r="E531" s="16" t="s">
        <v>264</v>
      </c>
      <c r="F531" s="18" t="s">
        <v>263</v>
      </c>
      <c r="G531" s="18" t="s">
        <v>240</v>
      </c>
      <c r="H531" s="16" t="s">
        <v>8</v>
      </c>
      <c r="I531" s="39" t="s">
        <v>227</v>
      </c>
      <c r="J531" s="284" t="s">
        <v>256</v>
      </c>
      <c r="K531" s="284" t="s">
        <v>256</v>
      </c>
      <c r="L531" s="284" t="s">
        <v>256</v>
      </c>
      <c r="M531" s="338"/>
      <c r="N531" s="23"/>
      <c r="P531" s="105" t="s">
        <v>16</v>
      </c>
      <c r="Q531" s="105" t="s">
        <v>239</v>
      </c>
      <c r="R531" s="105" t="s">
        <v>10</v>
      </c>
      <c r="S531" s="104"/>
      <c r="T531" s="106"/>
      <c r="U531" s="106" t="s">
        <v>24</v>
      </c>
      <c r="V531" s="105" t="s">
        <v>24</v>
      </c>
      <c r="W531" s="3" t="s">
        <v>10</v>
      </c>
      <c r="X531" s="3" t="s">
        <v>10</v>
      </c>
      <c r="Y531" s="182" t="str">
        <f>_xlfn.LET(_xlpm.v,_xlfn.XLOOKUP(E531,'[1]SME09-01_LHM'!$D:$D,'[1]SME09-01_LHM'!$AL:$AL),IF(_xlpm.v=0,"",_xlpm.v))</f>
        <v/>
      </c>
      <c r="Z531" s="104" t="str">
        <f>_xlfn.LET(_xlpm.v,IF(ISTEXT(Y531),_xlfn.XLOOKUP(Y531,'JP-PINT'!A:A,'JP-PINT'!B:B),""),IF(ISERROR(_xlpm.v),"",_xlpm.v))</f>
        <v/>
      </c>
      <c r="AA531" s="23" t="s">
        <v>24</v>
      </c>
    </row>
    <row r="532" spans="1:27" ht="12.75" customHeight="1">
      <c r="A532" s="4">
        <f>IF(ISTEXT(E532),_xlfn.XLOOKUP(E532,'[1]SME09-01_LHM'!$D:$D,'[1]SME09-01_LHM'!$B:$B))</f>
        <v>665</v>
      </c>
      <c r="B532" s="4">
        <f>_xlfn.XLOOKUP(F532,'[1]SME09-01_LHM'!$I:$I,'[1]SME09-01_LHM'!$B:$B)</f>
        <v>665</v>
      </c>
      <c r="C532" s="22">
        <f>ROW()-25</f>
        <v>507</v>
      </c>
      <c r="D532" s="16" t="s">
        <v>23</v>
      </c>
      <c r="E532" s="16" t="s">
        <v>262</v>
      </c>
      <c r="F532" s="18" t="s">
        <v>261</v>
      </c>
      <c r="G532" s="18" t="s">
        <v>260</v>
      </c>
      <c r="H532" s="16" t="s">
        <v>8</v>
      </c>
      <c r="I532" s="39" t="s">
        <v>227</v>
      </c>
      <c r="J532" s="284" t="s">
        <v>256</v>
      </c>
      <c r="K532" s="284" t="s">
        <v>256</v>
      </c>
      <c r="L532" s="284" t="s">
        <v>256</v>
      </c>
      <c r="M532" s="195" t="s">
        <v>73</v>
      </c>
      <c r="N532" s="23"/>
      <c r="P532" s="105" t="s">
        <v>16</v>
      </c>
      <c r="Q532" s="105" t="s">
        <v>235</v>
      </c>
      <c r="R532" s="105" t="s">
        <v>10</v>
      </c>
      <c r="S532" s="104"/>
      <c r="T532" s="106"/>
      <c r="U532" s="106" t="s">
        <v>24</v>
      </c>
      <c r="V532" s="105" t="s">
        <v>24</v>
      </c>
      <c r="W532" s="3" t="s">
        <v>10</v>
      </c>
      <c r="X532" s="3" t="s">
        <v>10</v>
      </c>
      <c r="Y532" s="182" t="str">
        <f>_xlfn.LET(_xlpm.v,_xlfn.XLOOKUP(E532,'[1]SME09-01_LHM'!$D:$D,'[1]SME09-01_LHM'!$AL:$AL),IF(_xlpm.v=0,"",_xlpm.v))</f>
        <v/>
      </c>
      <c r="Z532" s="104" t="str">
        <f>_xlfn.LET(_xlpm.v,IF(ISTEXT(Y532),_xlfn.XLOOKUP(Y532,'JP-PINT'!A:A,'JP-PINT'!B:B),""),IF(ISERROR(_xlpm.v),"",_xlpm.v))</f>
        <v/>
      </c>
      <c r="AA532" s="23" t="s">
        <v>24</v>
      </c>
    </row>
    <row r="533" spans="1:27" ht="12.75" customHeight="1">
      <c r="A533" s="4">
        <f>IF(ISTEXT(E533),_xlfn.XLOOKUP(E533,'[1]SME09-01_LHM'!$D:$D,'[1]SME09-01_LHM'!$B:$B))</f>
        <v>666</v>
      </c>
      <c r="B533" s="4">
        <f>_xlfn.XLOOKUP(F533,'[1]SME09-01_LHM'!$I:$I,'[1]SME09-01_LHM'!$B:$B)</f>
        <v>666</v>
      </c>
      <c r="C533" s="22">
        <f>ROW()-25</f>
        <v>508</v>
      </c>
      <c r="D533" s="16" t="s">
        <v>23</v>
      </c>
      <c r="E533" s="16" t="s">
        <v>259</v>
      </c>
      <c r="F533" s="18" t="s">
        <v>258</v>
      </c>
      <c r="G533" s="18" t="s">
        <v>257</v>
      </c>
      <c r="H533" s="16" t="s">
        <v>8</v>
      </c>
      <c r="I533" s="39" t="s">
        <v>227</v>
      </c>
      <c r="J533" s="284" t="s">
        <v>256</v>
      </c>
      <c r="K533" s="284" t="s">
        <v>256</v>
      </c>
      <c r="L533" s="284" t="s">
        <v>256</v>
      </c>
      <c r="M533" s="195" t="s">
        <v>73</v>
      </c>
      <c r="N533" s="23"/>
      <c r="O533" s="48"/>
      <c r="P533" s="105" t="s">
        <v>16</v>
      </c>
      <c r="Q533" s="105" t="s">
        <v>255</v>
      </c>
      <c r="R533" s="105" t="s">
        <v>10</v>
      </c>
      <c r="S533" s="104"/>
      <c r="T533" s="106"/>
      <c r="U533" s="106"/>
      <c r="V533" s="105"/>
      <c r="Y533" s="182" t="str">
        <f>_xlfn.LET(_xlpm.v,_xlfn.XLOOKUP(E533,'[1]SME09-01_LHM'!$D:$D,'[1]SME09-01_LHM'!$AL:$AL),IF(_xlpm.v=0,"",_xlpm.v))</f>
        <v/>
      </c>
      <c r="Z533" s="104" t="str">
        <f>_xlfn.LET(_xlpm.v,IF(ISTEXT(Y533),_xlfn.XLOOKUP(Y533,'JP-PINT'!A:A,'JP-PINT'!B:B),""),IF(ISERROR(_xlpm.v),"",_xlpm.v))</f>
        <v/>
      </c>
      <c r="AA533" s="23"/>
    </row>
    <row r="534" spans="1:27" s="6" customFormat="1" ht="12.75" customHeight="1">
      <c r="A534" s="4" t="e">
        <f>IF(ISTEXT(E534),_xlfn.XLOOKUP(E534,'[1]SME09-01_LHM'!$D:$D,'[1]SME09-01_LHM'!$B:$B))</f>
        <v>#N/A</v>
      </c>
      <c r="B534" s="4" t="e">
        <f>_xlfn.XLOOKUP(F534,'[1]SME09-01_LHM'!$I:$I,'[1]SME09-01_LHM'!$B:$B)</f>
        <v>#N/A</v>
      </c>
      <c r="C534" s="22">
        <f>ROW()-25</f>
        <v>509</v>
      </c>
      <c r="D534" s="26" t="s">
        <v>23</v>
      </c>
      <c r="E534" s="26" t="s">
        <v>254</v>
      </c>
      <c r="F534" s="25" t="s">
        <v>253</v>
      </c>
      <c r="G534" s="25" t="s">
        <v>252</v>
      </c>
      <c r="H534" s="26" t="s">
        <v>251</v>
      </c>
      <c r="I534" s="46" t="s">
        <v>143</v>
      </c>
      <c r="J534" s="372" t="s">
        <v>226</v>
      </c>
      <c r="K534" s="372" t="s">
        <v>226</v>
      </c>
      <c r="L534" s="372" t="s">
        <v>226</v>
      </c>
      <c r="M534" s="345"/>
      <c r="N534" s="23"/>
      <c r="O534" s="7"/>
      <c r="P534" s="105" t="s">
        <v>16</v>
      </c>
      <c r="Q534" s="104" t="s">
        <v>250</v>
      </c>
      <c r="R534" s="105" t="s">
        <v>25</v>
      </c>
      <c r="S534" s="104"/>
      <c r="T534" s="106" t="s">
        <v>103</v>
      </c>
      <c r="U534" s="106" t="s">
        <v>24</v>
      </c>
      <c r="V534" s="105" t="s">
        <v>24</v>
      </c>
      <c r="W534" s="3" t="s">
        <v>25</v>
      </c>
      <c r="X534" s="3" t="s">
        <v>25</v>
      </c>
      <c r="Y534" s="182"/>
      <c r="Z534" s="104" t="str">
        <f>_xlfn.LET(_xlpm.v,IF(ISTEXT(Y534),_xlfn.XLOOKUP(Y534,'JP-PINT'!A:A,'JP-PINT'!B:B),""),IF(ISERROR(_xlpm.v),"",_xlpm.v))</f>
        <v/>
      </c>
      <c r="AA534" s="23" t="s">
        <v>24</v>
      </c>
    </row>
    <row r="535" spans="1:27" s="137" customFormat="1" ht="12.75" customHeight="1">
      <c r="A535" s="4" t="e">
        <f>IF(ISTEXT(E535),_xlfn.XLOOKUP(E535,'[1]SME09-01_LHM'!$D:$D,'[1]SME09-01_LHM'!$B:$B))</f>
        <v>#N/A</v>
      </c>
      <c r="B535" s="4" t="e">
        <f>_xlfn.XLOOKUP(F535,'[1]SME09-01_LHM'!$I:$I,'[1]SME09-01_LHM'!$B:$B)</f>
        <v>#N/A</v>
      </c>
      <c r="C535" s="102">
        <f>ROW()-25</f>
        <v>510</v>
      </c>
      <c r="D535" s="103" t="s">
        <v>23</v>
      </c>
      <c r="E535" s="103" t="s">
        <v>249</v>
      </c>
      <c r="F535" s="105" t="s">
        <v>248</v>
      </c>
      <c r="G535" s="105" t="s">
        <v>247</v>
      </c>
      <c r="H535" s="103" t="s">
        <v>8</v>
      </c>
      <c r="I535" s="153" t="s">
        <v>227</v>
      </c>
      <c r="J535" s="374" t="s">
        <v>226</v>
      </c>
      <c r="K535" s="375" t="s">
        <v>226</v>
      </c>
      <c r="L535" s="375" t="s">
        <v>226</v>
      </c>
      <c r="M535" s="376"/>
      <c r="N535" s="138"/>
      <c r="O535" s="136"/>
      <c r="P535" s="105" t="s">
        <v>16</v>
      </c>
      <c r="Q535" s="105" t="s">
        <v>246</v>
      </c>
      <c r="R535" s="105" t="s">
        <v>10</v>
      </c>
      <c r="S535" s="104" t="s">
        <v>245</v>
      </c>
      <c r="T535" s="106" t="s">
        <v>158</v>
      </c>
      <c r="U535" s="106" t="s">
        <v>244</v>
      </c>
      <c r="V535" s="105" t="s">
        <v>243</v>
      </c>
      <c r="W535" s="107" t="s">
        <v>10</v>
      </c>
      <c r="X535" s="107" t="s">
        <v>10</v>
      </c>
      <c r="Y535" s="192"/>
      <c r="Z535" s="104" t="str">
        <f>_xlfn.LET(_xlpm.v,IF(ISTEXT(Y535),_xlfn.XLOOKUP(Y535,'JP-PINT'!A:A,'JP-PINT'!B:B),""),IF(ISERROR(_xlpm.v),"",_xlpm.v))</f>
        <v/>
      </c>
      <c r="AA535" s="138" t="s">
        <v>24</v>
      </c>
    </row>
    <row r="536" spans="1:27" ht="12.75" customHeight="1">
      <c r="A536" s="4" t="e">
        <f>IF(ISTEXT(E536),_xlfn.XLOOKUP(E536,'[1]SME09-01_LHM'!$D:$D,'[1]SME09-01_LHM'!$B:$B))</f>
        <v>#N/A</v>
      </c>
      <c r="B536" s="4" t="e">
        <f>_xlfn.XLOOKUP(F536,'[1]SME09-01_LHM'!$I:$I,'[1]SME09-01_LHM'!$B:$B)</f>
        <v>#N/A</v>
      </c>
      <c r="C536" s="22">
        <f>ROW()-25</f>
        <v>511</v>
      </c>
      <c r="D536" s="16" t="s">
        <v>23</v>
      </c>
      <c r="E536" s="16" t="s">
        <v>242</v>
      </c>
      <c r="F536" s="18" t="s">
        <v>241</v>
      </c>
      <c r="G536" s="18" t="s">
        <v>240</v>
      </c>
      <c r="H536" s="16" t="s">
        <v>8</v>
      </c>
      <c r="I536" s="39" t="s">
        <v>227</v>
      </c>
      <c r="J536" s="284" t="s">
        <v>226</v>
      </c>
      <c r="K536" s="284" t="s">
        <v>226</v>
      </c>
      <c r="L536" s="284" t="s">
        <v>226</v>
      </c>
      <c r="M536" s="338"/>
      <c r="N536" s="23"/>
      <c r="P536" s="105" t="s">
        <v>16</v>
      </c>
      <c r="Q536" s="105" t="s">
        <v>239</v>
      </c>
      <c r="R536" s="105" t="s">
        <v>10</v>
      </c>
      <c r="S536" s="104"/>
      <c r="T536" s="106"/>
      <c r="U536" s="106" t="s">
        <v>24</v>
      </c>
      <c r="V536" s="105" t="s">
        <v>24</v>
      </c>
      <c r="W536" s="3" t="s">
        <v>10</v>
      </c>
      <c r="X536" s="3" t="s">
        <v>10</v>
      </c>
      <c r="Y536" s="182"/>
      <c r="Z536" s="104" t="str">
        <f>_xlfn.LET(_xlpm.v,IF(ISTEXT(Y536),_xlfn.XLOOKUP(Y536,'JP-PINT'!A:A,'JP-PINT'!B:B),""),IF(ISERROR(_xlpm.v),"",_xlpm.v))</f>
        <v/>
      </c>
      <c r="AA536" s="23" t="s">
        <v>24</v>
      </c>
    </row>
    <row r="537" spans="1:27" ht="12.75" customHeight="1">
      <c r="A537" s="4" t="e">
        <f>IF(ISTEXT(E537),_xlfn.XLOOKUP(E537,'[1]SME09-01_LHM'!$D:$D,'[1]SME09-01_LHM'!$B:$B))</f>
        <v>#N/A</v>
      </c>
      <c r="B537" s="4" t="e">
        <f>_xlfn.XLOOKUP(F537,'[1]SME09-01_LHM'!$I:$I,'[1]SME09-01_LHM'!$B:$B)</f>
        <v>#N/A</v>
      </c>
      <c r="C537" s="22">
        <f>ROW()-25</f>
        <v>512</v>
      </c>
      <c r="D537" s="16" t="s">
        <v>23</v>
      </c>
      <c r="E537" s="16" t="s">
        <v>238</v>
      </c>
      <c r="F537" s="18" t="s">
        <v>237</v>
      </c>
      <c r="G537" s="18" t="s">
        <v>236</v>
      </c>
      <c r="H537" s="16" t="s">
        <v>8</v>
      </c>
      <c r="I537" s="39" t="s">
        <v>227</v>
      </c>
      <c r="J537" s="284" t="s">
        <v>226</v>
      </c>
      <c r="K537" s="284" t="s">
        <v>226</v>
      </c>
      <c r="L537" s="284" t="s">
        <v>226</v>
      </c>
      <c r="M537" s="338"/>
      <c r="N537" s="23"/>
      <c r="P537" s="105" t="s">
        <v>16</v>
      </c>
      <c r="Q537" s="105" t="s">
        <v>235</v>
      </c>
      <c r="R537" s="105" t="s">
        <v>10</v>
      </c>
      <c r="S537" s="104"/>
      <c r="T537" s="106"/>
      <c r="U537" s="106" t="s">
        <v>24</v>
      </c>
      <c r="V537" s="105" t="s">
        <v>24</v>
      </c>
      <c r="W537" s="3" t="s">
        <v>10</v>
      </c>
      <c r="X537" s="3" t="s">
        <v>10</v>
      </c>
      <c r="Y537" s="182"/>
      <c r="Z537" s="104" t="str">
        <f>_xlfn.LET(_xlpm.v,IF(ISTEXT(Y537),_xlfn.XLOOKUP(Y537,'JP-PINT'!A:A,'JP-PINT'!B:B),""),IF(ISERROR(_xlpm.v),"",_xlpm.v))</f>
        <v/>
      </c>
      <c r="AA537" s="23" t="s">
        <v>24</v>
      </c>
    </row>
    <row r="538" spans="1:27" ht="12.75" customHeight="1">
      <c r="A538" s="4" t="e">
        <f>IF(ISTEXT(E538),_xlfn.XLOOKUP(E538,'[1]SME09-01_LHM'!$D:$D,'[1]SME09-01_LHM'!$B:$B))</f>
        <v>#N/A</v>
      </c>
      <c r="B538" s="4" t="e">
        <f>_xlfn.XLOOKUP(F538,'[1]SME09-01_LHM'!$I:$I,'[1]SME09-01_LHM'!$B:$B)</f>
        <v>#N/A</v>
      </c>
      <c r="C538" s="18">
        <f>ROW()-25</f>
        <v>513</v>
      </c>
      <c r="D538" s="26" t="s">
        <v>23</v>
      </c>
      <c r="E538" s="26" t="s">
        <v>234</v>
      </c>
      <c r="F538" s="27" t="s">
        <v>233</v>
      </c>
      <c r="G538" s="27" t="s">
        <v>232</v>
      </c>
      <c r="H538" s="26" t="s">
        <v>28</v>
      </c>
      <c r="I538" s="39" t="s">
        <v>227</v>
      </c>
      <c r="J538" s="269" t="s">
        <v>226</v>
      </c>
      <c r="K538" s="269" t="s">
        <v>226</v>
      </c>
      <c r="L538" s="269" t="s">
        <v>226</v>
      </c>
      <c r="M538" s="189"/>
      <c r="N538" s="16"/>
      <c r="O538" s="3"/>
      <c r="P538" s="105" t="s">
        <v>225</v>
      </c>
      <c r="Q538" s="105" t="s">
        <v>164</v>
      </c>
      <c r="R538" s="105" t="s">
        <v>231</v>
      </c>
      <c r="S538" s="105"/>
      <c r="T538" s="106"/>
      <c r="U538" s="106"/>
      <c r="V538" s="104"/>
      <c r="W538" s="3" t="s">
        <v>25</v>
      </c>
      <c r="X538" s="3" t="s">
        <v>25</v>
      </c>
      <c r="Y538" s="182"/>
      <c r="Z538" s="104" t="str">
        <f>_xlfn.LET(_xlpm.v,IF(ISTEXT(Y538),_xlfn.XLOOKUP(Y538,'JP-PINT'!A:A,'JP-PINT'!B:B),""),IF(ISERROR(_xlpm.v),"",_xlpm.v))</f>
        <v/>
      </c>
      <c r="AA538" s="16"/>
    </row>
    <row r="539" spans="1:27" s="6" customFormat="1" ht="12.75" customHeight="1">
      <c r="A539" s="4" t="e">
        <f>IF(ISTEXT(E539),_xlfn.XLOOKUP(E539,'[1]SME09-01_LHM'!$D:$D,'[1]SME09-01_LHM'!$B:$B))</f>
        <v>#N/A</v>
      </c>
      <c r="B539" s="4" t="e">
        <f>_xlfn.XLOOKUP(F539,'[1]SME09-01_LHM'!$I:$I,'[1]SME09-01_LHM'!$B:$B)</f>
        <v>#N/A</v>
      </c>
      <c r="C539" s="18">
        <f>ROW()-25</f>
        <v>514</v>
      </c>
      <c r="D539" s="16" t="s">
        <v>23</v>
      </c>
      <c r="E539" s="16" t="s">
        <v>230</v>
      </c>
      <c r="F539" s="18" t="s">
        <v>229</v>
      </c>
      <c r="G539" s="18" t="s">
        <v>228</v>
      </c>
      <c r="H539" s="16" t="s">
        <v>8</v>
      </c>
      <c r="I539" s="39" t="s">
        <v>227</v>
      </c>
      <c r="J539" s="197" t="s">
        <v>226</v>
      </c>
      <c r="K539" s="197" t="s">
        <v>226</v>
      </c>
      <c r="L539" s="197" t="s">
        <v>226</v>
      </c>
      <c r="M539" s="186"/>
      <c r="N539" s="16"/>
      <c r="O539" s="3"/>
      <c r="P539" s="105" t="s">
        <v>225</v>
      </c>
      <c r="Q539" s="167" t="s">
        <v>224</v>
      </c>
      <c r="R539" s="148" t="s">
        <v>10</v>
      </c>
      <c r="S539" s="148" t="s">
        <v>161</v>
      </c>
      <c r="T539" s="149" t="s">
        <v>158</v>
      </c>
      <c r="U539" s="106"/>
      <c r="V539" s="104"/>
      <c r="W539" s="3" t="s">
        <v>10</v>
      </c>
      <c r="X539" s="3" t="s">
        <v>10</v>
      </c>
      <c r="Y539" s="182"/>
      <c r="Z539" s="104" t="str">
        <f>_xlfn.LET(_xlpm.v,IF(ISTEXT(Y539),_xlfn.XLOOKUP(Y539,'JP-PINT'!A:A,'JP-PINT'!B:B),""),IF(ISERROR(_xlpm.v),"",_xlpm.v))</f>
        <v/>
      </c>
      <c r="AA539" s="16"/>
    </row>
    <row r="540" spans="1:27" ht="12.75" customHeight="1">
      <c r="A540" s="4">
        <f>IF(ISTEXT(E540),_xlfn.XLOOKUP(E540,'[1]SME09-01_LHM'!$D:$D,'[1]SME09-01_LHM'!$B:$B))</f>
        <v>667</v>
      </c>
      <c r="B540" s="4">
        <f>_xlfn.XLOOKUP(F540,'[1]SME09-01_LHM'!$I:$I,'[1]SME09-01_LHM'!$B:$B)</f>
        <v>667</v>
      </c>
      <c r="C540" s="22">
        <f>ROW()-25</f>
        <v>515</v>
      </c>
      <c r="D540" s="26" t="s">
        <v>23</v>
      </c>
      <c r="E540" s="43" t="s">
        <v>223</v>
      </c>
      <c r="F540" s="93" t="s">
        <v>2799</v>
      </c>
      <c r="G540" s="42" t="s">
        <v>222</v>
      </c>
      <c r="H540" s="43" t="s">
        <v>43</v>
      </c>
      <c r="I540" s="26" t="s">
        <v>143</v>
      </c>
      <c r="J540" s="368" t="s">
        <v>18</v>
      </c>
      <c r="K540" s="368" t="s">
        <v>18</v>
      </c>
      <c r="L540" s="368" t="s">
        <v>18</v>
      </c>
      <c r="M540" s="370"/>
      <c r="N540" s="181" t="s">
        <v>221</v>
      </c>
      <c r="P540" s="105" t="s">
        <v>16</v>
      </c>
      <c r="Q540" s="104" t="s">
        <v>198</v>
      </c>
      <c r="R540" s="105" t="s">
        <v>25</v>
      </c>
      <c r="S540" s="104"/>
      <c r="T540" s="106" t="s">
        <v>103</v>
      </c>
      <c r="U540" s="106" t="s">
        <v>24</v>
      </c>
      <c r="V540" s="105" t="s">
        <v>24</v>
      </c>
      <c r="W540" s="3" t="s">
        <v>25</v>
      </c>
      <c r="X540" s="3" t="s">
        <v>25</v>
      </c>
      <c r="Y540" s="182" t="str">
        <f>_xlfn.LET(_xlpm.v,_xlfn.XLOOKUP(E540,'[1]SME09-01_LHM'!$D:$D,'[1]SME09-01_LHM'!$AL:$AL),IF(_xlpm.v=0,"",_xlpm.v))</f>
        <v>IBG-27</v>
      </c>
      <c r="Z540" s="104" t="str">
        <f>_xlfn.LET(_xlpm.v,IF(ISTEXT(Y540),_xlfn.XLOOKUP(Y540,'JP-PINT'!A:A,'JP-PINT'!B:B),""),IF(ISERROR(_xlpm.v),"",_xlpm.v))</f>
        <v>&gt; INVOICE LINE ALLOWANCES</v>
      </c>
      <c r="AA540" s="16" t="s">
        <v>43</v>
      </c>
    </row>
    <row r="541" spans="1:27" s="134" customFormat="1" ht="12.75" customHeight="1">
      <c r="A541" s="4" t="e">
        <f>IF(ISTEXT(E541),_xlfn.XLOOKUP(E541,'[1]SME09-01_LHM'!$D:$D,'[1]SME09-01_LHM'!$B:$B))</f>
        <v>#N/A</v>
      </c>
      <c r="B541" s="4" t="e">
        <f>_xlfn.XLOOKUP(F541,'[1]SME09-01_LHM'!$I:$I,'[1]SME09-01_LHM'!$B:$B)</f>
        <v>#N/A</v>
      </c>
      <c r="C541" s="102">
        <f>ROW()-25</f>
        <v>516</v>
      </c>
      <c r="D541" s="221" t="s">
        <v>23</v>
      </c>
      <c r="E541" s="103" t="s">
        <v>219</v>
      </c>
      <c r="F541" s="105" t="s">
        <v>3003</v>
      </c>
      <c r="G541" s="105" t="s">
        <v>195</v>
      </c>
      <c r="H541" s="103" t="s">
        <v>31</v>
      </c>
      <c r="I541" s="103" t="s">
        <v>143</v>
      </c>
      <c r="J541" s="222" t="s">
        <v>18</v>
      </c>
      <c r="K541" s="223" t="s">
        <v>18</v>
      </c>
      <c r="L541" s="223" t="s">
        <v>18</v>
      </c>
      <c r="M541" s="193"/>
      <c r="N541" s="223" t="s">
        <v>103</v>
      </c>
      <c r="O541" s="136"/>
      <c r="P541" s="217" t="s">
        <v>16</v>
      </c>
      <c r="Q541" s="104" t="s">
        <v>194</v>
      </c>
      <c r="R541" s="105" t="s">
        <v>10</v>
      </c>
      <c r="S541" s="104" t="s">
        <v>64</v>
      </c>
      <c r="T541" s="106" t="s">
        <v>63</v>
      </c>
      <c r="U541" s="106" t="s">
        <v>193</v>
      </c>
      <c r="V541" s="105" t="s">
        <v>218</v>
      </c>
      <c r="W541" s="107" t="s">
        <v>10</v>
      </c>
      <c r="X541" s="107" t="s">
        <v>10</v>
      </c>
      <c r="Y541" s="192"/>
      <c r="Z541" s="104" t="str">
        <f>_xlfn.LET(_xlpm.v,IF(ISTEXT(Y541),_xlfn.XLOOKUP(Y541,'JP-PINT'!A:A,'JP-PINT'!B:B),""),IF(ISERROR(_xlpm.v),"",_xlpm.v))</f>
        <v/>
      </c>
      <c r="AA541" s="138" t="s">
        <v>24</v>
      </c>
    </row>
    <row r="542" spans="1:27" ht="12.75" customHeight="1">
      <c r="A542" s="4">
        <f>IF(ISTEXT(E542),_xlfn.XLOOKUP(E542,'[1]SME09-01_LHM'!$D:$D,'[1]SME09-01_LHM'!$B:$B))</f>
        <v>670</v>
      </c>
      <c r="B542" s="4">
        <f>_xlfn.XLOOKUP(F542,'[1]SME09-01_LHM'!$I:$I,'[1]SME09-01_LHM'!$B:$B)</f>
        <v>670</v>
      </c>
      <c r="C542" s="22">
        <f>ROW()-25</f>
        <v>517</v>
      </c>
      <c r="D542" s="16" t="s">
        <v>56</v>
      </c>
      <c r="E542" s="16" t="s">
        <v>217</v>
      </c>
      <c r="F542" s="18" t="s">
        <v>216</v>
      </c>
      <c r="G542" s="18" t="s">
        <v>216</v>
      </c>
      <c r="H542" s="16" t="s">
        <v>8</v>
      </c>
      <c r="I542" s="16" t="s">
        <v>19</v>
      </c>
      <c r="J542" s="188" t="s">
        <v>18</v>
      </c>
      <c r="K542" s="181" t="s">
        <v>18</v>
      </c>
      <c r="L542" s="181" t="s">
        <v>18</v>
      </c>
      <c r="M542" s="186"/>
      <c r="N542" s="23" t="s">
        <v>17</v>
      </c>
      <c r="P542" s="105" t="s">
        <v>16</v>
      </c>
      <c r="Q542" s="105" t="s">
        <v>188</v>
      </c>
      <c r="R542" s="105" t="s">
        <v>10</v>
      </c>
      <c r="S542" s="104" t="s">
        <v>24</v>
      </c>
      <c r="T542" s="106" t="s">
        <v>24</v>
      </c>
      <c r="U542" s="106" t="s">
        <v>24</v>
      </c>
      <c r="V542" s="104" t="s">
        <v>24</v>
      </c>
      <c r="W542" s="3" t="s">
        <v>10</v>
      </c>
      <c r="X542" s="3" t="s">
        <v>10</v>
      </c>
      <c r="Y542" s="182" t="str">
        <f>_xlfn.LET(_xlpm.v,_xlfn.XLOOKUP(E542,'[1]SME09-01_LHM'!$D:$D,'[1]SME09-01_LHM'!$AL:$AL),IF(_xlpm.v=0,"",_xlpm.v))</f>
        <v>IBT-138</v>
      </c>
      <c r="Z542" s="104" t="str">
        <f>_xlfn.LET(_xlpm.v,IF(ISTEXT(Y542),_xlfn.XLOOKUP(Y542,'JP-PINT'!A:A,'JP-PINT'!B:B),""),IF(ISERROR(_xlpm.v),"",_xlpm.v))</f>
        <v>&gt;&gt; Invoice line allowance percentage</v>
      </c>
      <c r="AA542" s="23" t="s">
        <v>8</v>
      </c>
    </row>
    <row r="543" spans="1:27" ht="12.75" customHeight="1">
      <c r="A543" s="4">
        <f>IF(ISTEXT(E543),_xlfn.XLOOKUP(E543,'[1]SME09-01_LHM'!$D:$D,'[1]SME09-01_LHM'!$B:$B))</f>
        <v>671</v>
      </c>
      <c r="B543" s="4">
        <f>_xlfn.XLOOKUP(F543,'[1]SME09-01_LHM'!$I:$I,'[1]SME09-01_LHM'!$B:$B)</f>
        <v>671</v>
      </c>
      <c r="C543" s="22">
        <f>ROW()-25</f>
        <v>518</v>
      </c>
      <c r="D543" s="16" t="s">
        <v>23</v>
      </c>
      <c r="E543" s="16" t="s">
        <v>214</v>
      </c>
      <c r="F543" s="18" t="s">
        <v>213</v>
      </c>
      <c r="G543" s="18" t="s">
        <v>212</v>
      </c>
      <c r="H543" s="16" t="s">
        <v>8</v>
      </c>
      <c r="I543" s="16" t="s">
        <v>143</v>
      </c>
      <c r="J543" s="188" t="s">
        <v>18</v>
      </c>
      <c r="K543" s="181" t="s">
        <v>18</v>
      </c>
      <c r="L543" s="181" t="s">
        <v>18</v>
      </c>
      <c r="M543" s="195" t="s">
        <v>73</v>
      </c>
      <c r="N543" s="181" t="s">
        <v>183</v>
      </c>
      <c r="P543" s="105" t="s">
        <v>16</v>
      </c>
      <c r="Q543" s="105" t="s">
        <v>182</v>
      </c>
      <c r="R543" s="105" t="s">
        <v>10</v>
      </c>
      <c r="S543" s="104"/>
      <c r="T543" s="106"/>
      <c r="U543" s="106" t="s">
        <v>24</v>
      </c>
      <c r="V543" s="105" t="s">
        <v>24</v>
      </c>
      <c r="W543" s="3" t="s">
        <v>10</v>
      </c>
      <c r="X543" s="3" t="s">
        <v>10</v>
      </c>
      <c r="Y543" s="182" t="str">
        <f>_xlfn.LET(_xlpm.v,_xlfn.XLOOKUP(E543,'[1]SME09-01_LHM'!$D:$D,'[1]SME09-01_LHM'!$AL:$AL),IF(_xlpm.v=0,"",_xlpm.v))</f>
        <v>IBT-136</v>
      </c>
      <c r="Z543" s="104" t="str">
        <f>_xlfn.LET(_xlpm.v,IF(ISTEXT(Y543),_xlfn.XLOOKUP(Y543,'JP-PINT'!A:A,'JP-PINT'!B:B),""),IF(ISERROR(_xlpm.v),"",_xlpm.v))</f>
        <v>&gt;&gt; Invoice line allowance amount</v>
      </c>
      <c r="AA543" s="23" t="s">
        <v>31</v>
      </c>
    </row>
    <row r="544" spans="1:27" ht="12.75" customHeight="1">
      <c r="A544" s="4">
        <f>IF(ISTEXT(E544),_xlfn.XLOOKUP(E544,'[1]SME09-01_LHM'!$D:$D,'[1]SME09-01_LHM'!$B:$B))</f>
        <v>672</v>
      </c>
      <c r="B544" s="4">
        <f>_xlfn.XLOOKUP(F544,'[1]SME09-01_LHM'!$I:$I,'[1]SME09-01_LHM'!$B:$B)</f>
        <v>672</v>
      </c>
      <c r="C544" s="22">
        <f>ROW()-25</f>
        <v>519</v>
      </c>
      <c r="D544" s="16" t="s">
        <v>23</v>
      </c>
      <c r="E544" s="16" t="s">
        <v>210</v>
      </c>
      <c r="F544" s="18" t="s">
        <v>209</v>
      </c>
      <c r="G544" s="18" t="s">
        <v>209</v>
      </c>
      <c r="H544" s="16" t="s">
        <v>8</v>
      </c>
      <c r="I544" s="16" t="s">
        <v>143</v>
      </c>
      <c r="J544" s="188" t="s">
        <v>18</v>
      </c>
      <c r="K544" s="181" t="s">
        <v>18</v>
      </c>
      <c r="L544" s="181" t="s">
        <v>18</v>
      </c>
      <c r="M544" s="186"/>
      <c r="N544" s="181" t="s">
        <v>17</v>
      </c>
      <c r="P544" s="105" t="s">
        <v>16</v>
      </c>
      <c r="Q544" s="104" t="s">
        <v>177</v>
      </c>
      <c r="R544" s="105" t="s">
        <v>10</v>
      </c>
      <c r="S544" s="104" t="s">
        <v>176</v>
      </c>
      <c r="T544" s="106" t="s">
        <v>158</v>
      </c>
      <c r="U544" s="106" t="s">
        <v>24</v>
      </c>
      <c r="V544" s="105" t="s">
        <v>24</v>
      </c>
      <c r="W544" s="3" t="s">
        <v>10</v>
      </c>
      <c r="X544" s="3" t="s">
        <v>10</v>
      </c>
      <c r="Y544" s="182" t="str">
        <f>_xlfn.LET(_xlpm.v,_xlfn.XLOOKUP(E544,'[1]SME09-01_LHM'!$D:$D,'[1]SME09-01_LHM'!$AL:$AL),IF(_xlpm.v=0,"",_xlpm.v))</f>
        <v>IBT-140</v>
      </c>
      <c r="Z544" s="104" t="str">
        <f>_xlfn.LET(_xlpm.v,IF(ISTEXT(Y544),_xlfn.XLOOKUP(Y544,'JP-PINT'!A:A,'JP-PINT'!B:B),""),IF(ISERROR(_xlpm.v),"",_xlpm.v))</f>
        <v>&gt;&gt; Invoice line allowance reason code</v>
      </c>
      <c r="AA544" s="16" t="s">
        <v>8</v>
      </c>
    </row>
    <row r="545" spans="1:27" s="6" customFormat="1" ht="12.75" customHeight="1">
      <c r="A545" s="4">
        <f>IF(ISTEXT(E545),_xlfn.XLOOKUP(E545,'[1]SME09-01_LHM'!$D:$D,'[1]SME09-01_LHM'!$B:$B))</f>
        <v>673</v>
      </c>
      <c r="B545" s="4">
        <f>_xlfn.XLOOKUP(F545,'[1]SME09-01_LHM'!$I:$I,'[1]SME09-01_LHM'!$B:$B)</f>
        <v>673</v>
      </c>
      <c r="C545" s="22">
        <f>ROW()-25</f>
        <v>520</v>
      </c>
      <c r="D545" s="16" t="s">
        <v>23</v>
      </c>
      <c r="E545" s="16" t="s">
        <v>207</v>
      </c>
      <c r="F545" s="18" t="s">
        <v>206</v>
      </c>
      <c r="G545" s="18" t="s">
        <v>206</v>
      </c>
      <c r="H545" s="16" t="s">
        <v>8</v>
      </c>
      <c r="I545" s="16" t="s">
        <v>143</v>
      </c>
      <c r="J545" s="188" t="s">
        <v>18</v>
      </c>
      <c r="K545" s="181" t="s">
        <v>18</v>
      </c>
      <c r="L545" s="181" t="s">
        <v>18</v>
      </c>
      <c r="M545" s="195" t="s">
        <v>73</v>
      </c>
      <c r="N545" s="181" t="s">
        <v>17</v>
      </c>
      <c r="O545" s="7"/>
      <c r="P545" s="105" t="s">
        <v>16</v>
      </c>
      <c r="Q545" s="104" t="s">
        <v>171</v>
      </c>
      <c r="R545" s="105" t="s">
        <v>10</v>
      </c>
      <c r="S545" s="104"/>
      <c r="T545" s="106"/>
      <c r="U545" s="106" t="s">
        <v>24</v>
      </c>
      <c r="V545" s="105" t="s">
        <v>24</v>
      </c>
      <c r="W545" s="3" t="s">
        <v>10</v>
      </c>
      <c r="X545" s="3" t="s">
        <v>10</v>
      </c>
      <c r="Y545" s="182" t="str">
        <f>_xlfn.LET(_xlpm.v,_xlfn.XLOOKUP(E545,'[1]SME09-01_LHM'!$D:$D,'[1]SME09-01_LHM'!$AL:$AL),IF(_xlpm.v=0,"",_xlpm.v))</f>
        <v>IBT-139</v>
      </c>
      <c r="Z545" s="104" t="str">
        <f>_xlfn.LET(_xlpm.v,IF(ISTEXT(Y545),_xlfn.XLOOKUP(Y545,'JP-PINT'!A:A,'JP-PINT'!B:B),""),IF(ISERROR(_xlpm.v),"",_xlpm.v))</f>
        <v>&gt;&gt; Invoice line allowance reason</v>
      </c>
      <c r="AA545" s="16" t="s">
        <v>8</v>
      </c>
    </row>
    <row r="546" spans="1:27" s="6" customFormat="1" ht="12.75" customHeight="1">
      <c r="A546" s="4">
        <f>IF(ISTEXT(E546),_xlfn.XLOOKUP(E546,'[1]SME09-01_LHM'!$D:$D,'[1]SME09-01_LHM'!$B:$B))</f>
        <v>674</v>
      </c>
      <c r="B546" s="4">
        <f>_xlfn.XLOOKUP(F546,'[1]SME09-01_LHM'!$I:$I,'[1]SME09-01_LHM'!$B:$B)</f>
        <v>674</v>
      </c>
      <c r="C546" s="22">
        <f>ROW()-25</f>
        <v>521</v>
      </c>
      <c r="D546" s="16" t="s">
        <v>56</v>
      </c>
      <c r="E546" s="16" t="s">
        <v>204</v>
      </c>
      <c r="F546" s="18" t="s">
        <v>203</v>
      </c>
      <c r="G546" s="18" t="s">
        <v>203</v>
      </c>
      <c r="H546" s="16" t="s">
        <v>8</v>
      </c>
      <c r="I546" s="16" t="s">
        <v>19</v>
      </c>
      <c r="J546" s="188" t="s">
        <v>18</v>
      </c>
      <c r="K546" s="181" t="s">
        <v>18</v>
      </c>
      <c r="L546" s="181" t="s">
        <v>18</v>
      </c>
      <c r="M546" s="186"/>
      <c r="N546" s="23" t="s">
        <v>17</v>
      </c>
      <c r="O546" s="7"/>
      <c r="P546" s="105" t="s">
        <v>16</v>
      </c>
      <c r="Q546" s="105" t="s">
        <v>166</v>
      </c>
      <c r="R546" s="105" t="s">
        <v>10</v>
      </c>
      <c r="S546" s="104"/>
      <c r="T546" s="106"/>
      <c r="U546" s="106" t="s">
        <v>24</v>
      </c>
      <c r="V546" s="104" t="s">
        <v>24</v>
      </c>
      <c r="W546" s="3" t="s">
        <v>10</v>
      </c>
      <c r="X546" s="3" t="s">
        <v>10</v>
      </c>
      <c r="Y546" s="182" t="str">
        <f>_xlfn.LET(_xlpm.v,_xlfn.XLOOKUP(E546,'[1]SME09-01_LHM'!$D:$D,'[1]SME09-01_LHM'!$AL:$AL),IF(_xlpm.v=0,"",_xlpm.v))</f>
        <v>IBT-137</v>
      </c>
      <c r="Z546" s="104" t="str">
        <f>_xlfn.LET(_xlpm.v,IF(ISTEXT(Y546),_xlfn.XLOOKUP(Y546,'JP-PINT'!A:A,'JP-PINT'!B:B),""),IF(ISERROR(_xlpm.v),"",_xlpm.v))</f>
        <v>&gt;&gt; Invoice line allowance base amount</v>
      </c>
      <c r="AA546" s="23" t="s">
        <v>8</v>
      </c>
    </row>
    <row r="547" spans="1:27" s="45" customFormat="1" ht="12.75" customHeight="1">
      <c r="A547" s="4">
        <f>IF(ISTEXT(E547),_xlfn.XLOOKUP(E547,'[1]SME09-01_LHM'!$D:$D,'[1]SME09-01_LHM'!$B:$B))</f>
        <v>675</v>
      </c>
      <c r="B547" s="4">
        <f>_xlfn.XLOOKUP(F547,'[1]SME09-01_LHM'!$I:$I,'[1]SME09-01_LHM'!$B:$B)</f>
        <v>675</v>
      </c>
      <c r="C547" s="37"/>
      <c r="D547" s="35"/>
      <c r="E547" s="35" t="s">
        <v>2800</v>
      </c>
      <c r="F547" s="93" t="s">
        <v>2804</v>
      </c>
      <c r="G547" s="37"/>
      <c r="H547" s="35" t="s">
        <v>8</v>
      </c>
      <c r="I547" s="35"/>
      <c r="J547" s="284"/>
      <c r="K547" s="284"/>
      <c r="L547" s="284"/>
      <c r="M547" s="197"/>
      <c r="N547" s="35"/>
      <c r="O547" s="41"/>
      <c r="P547" s="148"/>
      <c r="Q547" s="148" t="s">
        <v>164</v>
      </c>
      <c r="R547" s="148" t="s">
        <v>25</v>
      </c>
      <c r="S547" s="130"/>
      <c r="T547" s="149"/>
      <c r="U547" s="149"/>
      <c r="V547" s="148"/>
      <c r="W547" s="40"/>
      <c r="X547" s="40"/>
      <c r="Y547" s="182" t="str">
        <f>_xlfn.LET(_xlpm.v,_xlfn.XLOOKUP(E547,'[1]SME09-01_LHM'!$D:$D,'[1]SME09-01_LHM'!$AL:$AL),IF(_xlpm.v=0,"",_xlpm.v))</f>
        <v/>
      </c>
      <c r="Z547" s="104" t="str">
        <f>_xlfn.LET(_xlpm.v,IF(ISTEXT(Y547),_xlfn.XLOOKUP(Y547,'JP-PINT'!A:A,'JP-PINT'!B:B),""),IF(ISERROR(_xlpm.v),"",_xlpm.v))</f>
        <v/>
      </c>
      <c r="AA547" s="35"/>
    </row>
    <row r="548" spans="1:27" s="45" customFormat="1" ht="12.75" customHeight="1">
      <c r="A548" s="4">
        <f>IF(ISTEXT(E548),_xlfn.XLOOKUP(E548,'[1]SME09-01_LHM'!$D:$D,'[1]SME09-01_LHM'!$B:$B))</f>
        <v>676.1</v>
      </c>
      <c r="B548" s="4">
        <f>_xlfn.XLOOKUP(F548,'[1]SME09-01_LHM'!$I:$I,'[1]SME09-01_LHM'!$B:$B)</f>
        <v>676.1</v>
      </c>
      <c r="C548" s="37"/>
      <c r="D548" s="35"/>
      <c r="E548" s="35" t="s">
        <v>2801</v>
      </c>
      <c r="F548" s="93" t="s">
        <v>2805</v>
      </c>
      <c r="G548" s="37" t="s">
        <v>163</v>
      </c>
      <c r="H548" s="35" t="s">
        <v>8</v>
      </c>
      <c r="I548" s="35"/>
      <c r="J548" s="284"/>
      <c r="K548" s="284"/>
      <c r="L548" s="284"/>
      <c r="M548" s="197"/>
      <c r="N548" s="35"/>
      <c r="O548" s="41"/>
      <c r="P548" s="148"/>
      <c r="Q548" s="130" t="s">
        <v>162</v>
      </c>
      <c r="R548" s="148" t="s">
        <v>10</v>
      </c>
      <c r="S548" s="130" t="s">
        <v>161</v>
      </c>
      <c r="T548" s="149" t="s">
        <v>158</v>
      </c>
      <c r="U548" s="149"/>
      <c r="V548" s="148"/>
      <c r="W548" s="40"/>
      <c r="X548" s="40"/>
      <c r="Y548" s="182" t="str">
        <f>_xlfn.LET(_xlpm.v,_xlfn.XLOOKUP(E548,'[1]SME09-01_LHM'!$D:$D,'[1]SME09-01_LHM'!$AL:$AL),IF(_xlpm.v=0,"",_xlpm.v))</f>
        <v/>
      </c>
      <c r="Z548" s="104" t="str">
        <f>_xlfn.LET(_xlpm.v,IF(ISTEXT(Y548),_xlfn.XLOOKUP(Y548,'JP-PINT'!A:A,'JP-PINT'!B:B),""),IF(ISERROR(_xlpm.v),"",_xlpm.v))</f>
        <v/>
      </c>
      <c r="AA548" s="35"/>
    </row>
    <row r="549" spans="1:27" s="45" customFormat="1" ht="12.75" customHeight="1">
      <c r="A549" s="4">
        <f>IF(ISTEXT(E549),_xlfn.XLOOKUP(E549,'[1]SME09-01_LHM'!$D:$D,'[1]SME09-01_LHM'!$B:$B))</f>
        <v>677</v>
      </c>
      <c r="B549" s="4">
        <f>_xlfn.XLOOKUP(F549,'[1]SME09-01_LHM'!$I:$I,'[1]SME09-01_LHM'!$B:$B)</f>
        <v>677</v>
      </c>
      <c r="C549" s="37"/>
      <c r="D549" s="35"/>
      <c r="E549" s="35" t="s">
        <v>2802</v>
      </c>
      <c r="F549" s="93" t="s">
        <v>2806</v>
      </c>
      <c r="G549" s="37" t="s">
        <v>160</v>
      </c>
      <c r="H549" s="35" t="s">
        <v>8</v>
      </c>
      <c r="I549" s="35"/>
      <c r="J549" s="284"/>
      <c r="K549" s="284"/>
      <c r="L549" s="284"/>
      <c r="M549" s="197"/>
      <c r="N549" s="35"/>
      <c r="O549" s="41"/>
      <c r="P549" s="148"/>
      <c r="Q549" s="148" t="s">
        <v>156</v>
      </c>
      <c r="R549" s="148" t="s">
        <v>10</v>
      </c>
      <c r="S549" s="275" t="s">
        <v>159</v>
      </c>
      <c r="T549" s="276" t="s">
        <v>158</v>
      </c>
      <c r="U549" s="149"/>
      <c r="V549" s="148"/>
      <c r="W549" s="40"/>
      <c r="X549" s="40"/>
      <c r="Y549" s="182" t="str">
        <f>_xlfn.LET(_xlpm.v,_xlfn.XLOOKUP(E549,'[1]SME09-01_LHM'!$D:$D,'[1]SME09-01_LHM'!$AL:$AL),IF(_xlpm.v=0,"",_xlpm.v))</f>
        <v>IBT-096</v>
      </c>
      <c r="Z549" s="104" t="str">
        <f>_xlfn.LET(_xlpm.v,IF(ISTEXT(Y549),_xlfn.XLOOKUP(Y549,'JP-PINT'!A:A,'JP-PINT'!B:B),""),IF(ISERROR(_xlpm.v),"",_xlpm.v))</f>
        <v>&gt; Document level allowance TAX rate</v>
      </c>
      <c r="AA549" s="35"/>
    </row>
    <row r="550" spans="1:27" s="45" customFormat="1" ht="12.75" customHeight="1">
      <c r="A550" s="4">
        <f>IF(ISTEXT(E550),_xlfn.XLOOKUP(E550,'[1]SME09-01_LHM'!$D:$D,'[1]SME09-01_LHM'!$B:$B))</f>
        <v>678</v>
      </c>
      <c r="B550" s="4">
        <f>_xlfn.XLOOKUP(F550,'[1]SME09-01_LHM'!$I:$I,'[1]SME09-01_LHM'!$B:$B)</f>
        <v>678</v>
      </c>
      <c r="C550" s="37"/>
      <c r="D550" s="35"/>
      <c r="E550" s="35" t="s">
        <v>2803</v>
      </c>
      <c r="F550" s="93" t="s">
        <v>2807</v>
      </c>
      <c r="G550" s="37" t="s">
        <v>157</v>
      </c>
      <c r="H550" s="35" t="s">
        <v>8</v>
      </c>
      <c r="I550" s="35"/>
      <c r="J550" s="284"/>
      <c r="K550" s="284"/>
      <c r="L550" s="284"/>
      <c r="M550" s="197"/>
      <c r="N550" s="35"/>
      <c r="O550" s="41"/>
      <c r="P550" s="148"/>
      <c r="Q550" s="148" t="s">
        <v>156</v>
      </c>
      <c r="R550" s="148" t="s">
        <v>10</v>
      </c>
      <c r="S550" s="130"/>
      <c r="T550" s="149"/>
      <c r="U550" s="149"/>
      <c r="V550" s="148"/>
      <c r="W550" s="40"/>
      <c r="X550" s="40"/>
      <c r="Y550" s="182" t="str">
        <f>_xlfn.LET(_xlpm.v,_xlfn.XLOOKUP(E550,'[1]SME09-01_LHM'!$D:$D,'[1]SME09-01_LHM'!$AL:$AL),IF(_xlpm.v=0,"",_xlpm.v))</f>
        <v>IBT-095</v>
      </c>
      <c r="Z550" s="104" t="str">
        <f>_xlfn.LET(_xlpm.v,IF(ISTEXT(Y550),_xlfn.XLOOKUP(Y550,'JP-PINT'!A:A,'JP-PINT'!B:B),""),IF(ISERROR(_xlpm.v),"",_xlpm.v))</f>
        <v>&gt; Document level allowance TAX category code</v>
      </c>
      <c r="AA550" s="35"/>
    </row>
    <row r="551" spans="1:27" ht="12.75" customHeight="1">
      <c r="A551" s="4">
        <f>IF(ISTEXT(E551),_xlfn.XLOOKUP(E551,'[1]SME09-01_LHM'!$D:$D,'[1]SME09-01_LHM'!$B:$B))</f>
        <v>679</v>
      </c>
      <c r="B551" s="4">
        <f>_xlfn.XLOOKUP(F551,'[1]SME09-01_LHM'!$I:$I,'[1]SME09-01_LHM'!$B:$B)</f>
        <v>679</v>
      </c>
      <c r="C551" s="22">
        <f>ROW()-25</f>
        <v>526</v>
      </c>
      <c r="D551" s="26" t="s">
        <v>56</v>
      </c>
      <c r="E551" s="43" t="s">
        <v>201</v>
      </c>
      <c r="F551" s="93" t="s">
        <v>2810</v>
      </c>
      <c r="G551" s="42" t="s">
        <v>200</v>
      </c>
      <c r="H551" s="43" t="s">
        <v>43</v>
      </c>
      <c r="I551" s="26" t="s">
        <v>19</v>
      </c>
      <c r="J551" s="368" t="s">
        <v>18</v>
      </c>
      <c r="K551" s="369" t="s">
        <v>18</v>
      </c>
      <c r="L551" s="369" t="s">
        <v>18</v>
      </c>
      <c r="M551" s="370"/>
      <c r="N551" s="181" t="s">
        <v>199</v>
      </c>
      <c r="P551" s="105" t="s">
        <v>16</v>
      </c>
      <c r="Q551" s="104" t="s">
        <v>198</v>
      </c>
      <c r="R551" s="105" t="s">
        <v>25</v>
      </c>
      <c r="S551" s="104"/>
      <c r="T551" s="106" t="s">
        <v>133</v>
      </c>
      <c r="U551" s="106" t="s">
        <v>24</v>
      </c>
      <c r="V551" s="104" t="s">
        <v>24</v>
      </c>
      <c r="W551" s="3" t="s">
        <v>25</v>
      </c>
      <c r="X551" s="3" t="s">
        <v>25</v>
      </c>
      <c r="Y551" s="182" t="str">
        <f>_xlfn.LET(_xlpm.v,_xlfn.XLOOKUP(E551,'[1]SME09-01_LHM'!$D:$D,'[1]SME09-01_LHM'!$AL:$AL),IF(_xlpm.v=0,"",_xlpm.v))</f>
        <v>IBG-28</v>
      </c>
      <c r="Z551" s="104" t="str">
        <f>_xlfn.LET(_xlpm.v,IF(ISTEXT(Y551),_xlfn.XLOOKUP(Y551,'JP-PINT'!A:A,'JP-PINT'!B:B),""),IF(ISERROR(_xlpm.v),"",_xlpm.v))</f>
        <v>&gt; INVOICE LINE CHARGES</v>
      </c>
      <c r="AA551" s="16" t="s">
        <v>43</v>
      </c>
    </row>
    <row r="552" spans="1:27" s="134" customFormat="1" ht="12.75" customHeight="1">
      <c r="A552" s="4" t="e">
        <f>IF(ISTEXT(E552),_xlfn.XLOOKUP(E552,'[1]SME09-01_LHM'!$D:$D,'[1]SME09-01_LHM'!$B:$B))</f>
        <v>#N/A</v>
      </c>
      <c r="B552" s="4" t="e">
        <f>_xlfn.XLOOKUP(F552,'[1]SME09-01_LHM'!$I:$I,'[1]SME09-01_LHM'!$B:$B)</f>
        <v>#N/A</v>
      </c>
      <c r="C552" s="102">
        <f>ROW()-25</f>
        <v>527</v>
      </c>
      <c r="D552" s="221" t="s">
        <v>56</v>
      </c>
      <c r="E552" s="103" t="s">
        <v>196</v>
      </c>
      <c r="F552" s="105" t="s">
        <v>3003</v>
      </c>
      <c r="G552" s="105" t="s">
        <v>195</v>
      </c>
      <c r="H552" s="103" t="s">
        <v>31</v>
      </c>
      <c r="I552" s="103" t="s">
        <v>19</v>
      </c>
      <c r="J552" s="222" t="s">
        <v>18</v>
      </c>
      <c r="K552" s="223" t="s">
        <v>18</v>
      </c>
      <c r="L552" s="223" t="s">
        <v>18</v>
      </c>
      <c r="M552" s="193"/>
      <c r="N552" s="223" t="s">
        <v>103</v>
      </c>
      <c r="O552" s="136"/>
      <c r="P552" s="217" t="s">
        <v>16</v>
      </c>
      <c r="Q552" s="104" t="s">
        <v>194</v>
      </c>
      <c r="R552" s="105" t="s">
        <v>10</v>
      </c>
      <c r="S552" s="104" t="s">
        <v>64</v>
      </c>
      <c r="T552" s="106" t="s">
        <v>63</v>
      </c>
      <c r="U552" s="106" t="s">
        <v>193</v>
      </c>
      <c r="V552" s="104" t="s">
        <v>192</v>
      </c>
      <c r="W552" s="107" t="s">
        <v>10</v>
      </c>
      <c r="X552" s="107" t="s">
        <v>10</v>
      </c>
      <c r="Y552" s="192"/>
      <c r="Z552" s="104" t="str">
        <f>_xlfn.LET(_xlpm.v,IF(ISTEXT(Y552),_xlfn.XLOOKUP(Y552,'JP-PINT'!A:A,'JP-PINT'!B:B),""),IF(ISERROR(_xlpm.v),"",_xlpm.v))</f>
        <v/>
      </c>
      <c r="AA552" s="138" t="s">
        <v>24</v>
      </c>
    </row>
    <row r="553" spans="1:27" ht="12.75" customHeight="1">
      <c r="A553" s="4">
        <f>IF(ISTEXT(E553),_xlfn.XLOOKUP(E553,'[1]SME09-01_LHM'!$D:$D,'[1]SME09-01_LHM'!$B:$B))</f>
        <v>682</v>
      </c>
      <c r="B553" s="4">
        <f>_xlfn.XLOOKUP(F553,'[1]SME09-01_LHM'!$I:$I,'[1]SME09-01_LHM'!$B:$B)</f>
        <v>682</v>
      </c>
      <c r="C553" s="22">
        <f>ROW()-25</f>
        <v>528</v>
      </c>
      <c r="D553" s="16" t="s">
        <v>56</v>
      </c>
      <c r="E553" s="16" t="s">
        <v>191</v>
      </c>
      <c r="F553" s="18" t="s">
        <v>190</v>
      </c>
      <c r="G553" s="17" t="s">
        <v>189</v>
      </c>
      <c r="H553" s="16" t="s">
        <v>8</v>
      </c>
      <c r="I553" s="16" t="s">
        <v>19</v>
      </c>
      <c r="J553" s="188" t="s">
        <v>18</v>
      </c>
      <c r="K553" s="181" t="s">
        <v>18</v>
      </c>
      <c r="L553" s="181" t="s">
        <v>18</v>
      </c>
      <c r="M553" s="186"/>
      <c r="N553" s="181" t="s">
        <v>17</v>
      </c>
      <c r="P553" s="105" t="s">
        <v>16</v>
      </c>
      <c r="Q553" s="105" t="s">
        <v>188</v>
      </c>
      <c r="R553" s="105" t="s">
        <v>10</v>
      </c>
      <c r="S553" s="104" t="s">
        <v>24</v>
      </c>
      <c r="T553" s="106" t="s">
        <v>24</v>
      </c>
      <c r="U553" s="106" t="s">
        <v>24</v>
      </c>
      <c r="V553" s="104" t="s">
        <v>24</v>
      </c>
      <c r="W553" s="3" t="s">
        <v>10</v>
      </c>
      <c r="X553" s="3" t="s">
        <v>10</v>
      </c>
      <c r="Y553" s="182" t="str">
        <f>_xlfn.LET(_xlpm.v,_xlfn.XLOOKUP(E553,'[1]SME09-01_LHM'!$D:$D,'[1]SME09-01_LHM'!$AL:$AL),IF(_xlpm.v=0,"",_xlpm.v))</f>
        <v>IBT-143</v>
      </c>
      <c r="Z553" s="104" t="str">
        <f>_xlfn.LET(_xlpm.v,IF(ISTEXT(Y553),_xlfn.XLOOKUP(Y553,'JP-PINT'!A:A,'JP-PINT'!B:B),""),IF(ISERROR(_xlpm.v),"",_xlpm.v))</f>
        <v>&gt;&gt; Invoice line charge percentage</v>
      </c>
      <c r="AA553" s="23" t="s">
        <v>8</v>
      </c>
    </row>
    <row r="554" spans="1:27" ht="12.75" customHeight="1">
      <c r="A554" s="4">
        <f>IF(ISTEXT(E554),_xlfn.XLOOKUP(E554,'[1]SME09-01_LHM'!$D:$D,'[1]SME09-01_LHM'!$B:$B))</f>
        <v>683</v>
      </c>
      <c r="B554" s="4">
        <f>_xlfn.XLOOKUP(F554,'[1]SME09-01_LHM'!$I:$I,'[1]SME09-01_LHM'!$B:$B)</f>
        <v>683</v>
      </c>
      <c r="C554" s="22">
        <f>ROW()-25</f>
        <v>529</v>
      </c>
      <c r="D554" s="16" t="s">
        <v>56</v>
      </c>
      <c r="E554" s="16" t="s">
        <v>186</v>
      </c>
      <c r="F554" s="18" t="s">
        <v>185</v>
      </c>
      <c r="G554" s="18" t="s">
        <v>184</v>
      </c>
      <c r="H554" s="16" t="s">
        <v>8</v>
      </c>
      <c r="I554" s="16" t="s">
        <v>19</v>
      </c>
      <c r="J554" s="188" t="s">
        <v>18</v>
      </c>
      <c r="K554" s="181" t="s">
        <v>18</v>
      </c>
      <c r="L554" s="181" t="s">
        <v>18</v>
      </c>
      <c r="M554" s="195" t="s">
        <v>73</v>
      </c>
      <c r="N554" s="181" t="s">
        <v>183</v>
      </c>
      <c r="P554" s="105" t="s">
        <v>16</v>
      </c>
      <c r="Q554" s="105" t="s">
        <v>182</v>
      </c>
      <c r="R554" s="105" t="s">
        <v>10</v>
      </c>
      <c r="S554" s="104"/>
      <c r="T554" s="106"/>
      <c r="U554" s="106" t="s">
        <v>24</v>
      </c>
      <c r="V554" s="104" t="s">
        <v>24</v>
      </c>
      <c r="W554" s="3" t="s">
        <v>10</v>
      </c>
      <c r="X554" s="3" t="s">
        <v>10</v>
      </c>
      <c r="Y554" s="182" t="str">
        <f>_xlfn.LET(_xlpm.v,_xlfn.XLOOKUP(E554,'[1]SME09-01_LHM'!$D:$D,'[1]SME09-01_LHM'!$AL:$AL),IF(_xlpm.v=0,"",_xlpm.v))</f>
        <v>IBT-141</v>
      </c>
      <c r="Z554" s="104" t="str">
        <f>_xlfn.LET(_xlpm.v,IF(ISTEXT(Y554),_xlfn.XLOOKUP(Y554,'JP-PINT'!A:A,'JP-PINT'!B:B),""),IF(ISERROR(_xlpm.v),"",_xlpm.v))</f>
        <v>&gt;&gt; Invoice line charge amount</v>
      </c>
      <c r="AA554" s="23" t="s">
        <v>31</v>
      </c>
    </row>
    <row r="555" spans="1:27" ht="12.75" customHeight="1">
      <c r="A555" s="4">
        <f>IF(ISTEXT(E555),_xlfn.XLOOKUP(E555,'[1]SME09-01_LHM'!$D:$D,'[1]SME09-01_LHM'!$B:$B))</f>
        <v>684</v>
      </c>
      <c r="B555" s="4">
        <f>_xlfn.XLOOKUP(F555,'[1]SME09-01_LHM'!$I:$I,'[1]SME09-01_LHM'!$B:$B)</f>
        <v>684</v>
      </c>
      <c r="C555" s="22">
        <f>ROW()-25</f>
        <v>530</v>
      </c>
      <c r="D555" s="16" t="s">
        <v>56</v>
      </c>
      <c r="E555" s="16" t="s">
        <v>180</v>
      </c>
      <c r="F555" s="18" t="s">
        <v>179</v>
      </c>
      <c r="G555" s="18" t="s">
        <v>178</v>
      </c>
      <c r="H555" s="16" t="s">
        <v>8</v>
      </c>
      <c r="I555" s="16" t="s">
        <v>19</v>
      </c>
      <c r="J555" s="188" t="s">
        <v>18</v>
      </c>
      <c r="K555" s="181" t="s">
        <v>18</v>
      </c>
      <c r="L555" s="181" t="s">
        <v>18</v>
      </c>
      <c r="M555" s="186"/>
      <c r="N555" s="181" t="s">
        <v>17</v>
      </c>
      <c r="P555" s="105" t="s">
        <v>16</v>
      </c>
      <c r="Q555" s="104" t="s">
        <v>177</v>
      </c>
      <c r="R555" s="105" t="s">
        <v>10</v>
      </c>
      <c r="S555" s="104" t="s">
        <v>176</v>
      </c>
      <c r="T555" s="106" t="s">
        <v>158</v>
      </c>
      <c r="U555" s="106" t="s">
        <v>24</v>
      </c>
      <c r="V555" s="104" t="s">
        <v>24</v>
      </c>
      <c r="W555" s="3" t="s">
        <v>10</v>
      </c>
      <c r="X555" s="3" t="s">
        <v>10</v>
      </c>
      <c r="Y555" s="182" t="str">
        <f>_xlfn.LET(_xlpm.v,_xlfn.XLOOKUP(E555,'[1]SME09-01_LHM'!$D:$D,'[1]SME09-01_LHM'!$AL:$AL),IF(_xlpm.v=0,"",_xlpm.v))</f>
        <v>IBT-145</v>
      </c>
      <c r="Z555" s="104" t="str">
        <f>_xlfn.LET(_xlpm.v,IF(ISTEXT(Y555),_xlfn.XLOOKUP(Y555,'JP-PINT'!A:A,'JP-PINT'!B:B),""),IF(ISERROR(_xlpm.v),"",_xlpm.v))</f>
        <v>&gt;&gt; Invoice line charge reason code</v>
      </c>
      <c r="AA555" s="16" t="s">
        <v>8</v>
      </c>
    </row>
    <row r="556" spans="1:27" s="6" customFormat="1" ht="12.75" customHeight="1">
      <c r="A556" s="4">
        <f>IF(ISTEXT(E556),_xlfn.XLOOKUP(E556,'[1]SME09-01_LHM'!$D:$D,'[1]SME09-01_LHM'!$B:$B))</f>
        <v>685</v>
      </c>
      <c r="B556" s="4">
        <f>_xlfn.XLOOKUP(F556,'[1]SME09-01_LHM'!$I:$I,'[1]SME09-01_LHM'!$B:$B)</f>
        <v>685</v>
      </c>
      <c r="C556" s="22">
        <f>ROW()-25</f>
        <v>531</v>
      </c>
      <c r="D556" s="16" t="s">
        <v>56</v>
      </c>
      <c r="E556" s="16" t="s">
        <v>174</v>
      </c>
      <c r="F556" s="18" t="s">
        <v>173</v>
      </c>
      <c r="G556" s="18" t="s">
        <v>172</v>
      </c>
      <c r="H556" s="16" t="s">
        <v>8</v>
      </c>
      <c r="I556" s="16" t="s">
        <v>19</v>
      </c>
      <c r="J556" s="188" t="s">
        <v>18</v>
      </c>
      <c r="K556" s="181" t="s">
        <v>18</v>
      </c>
      <c r="L556" s="181" t="s">
        <v>18</v>
      </c>
      <c r="M556" s="195" t="s">
        <v>73</v>
      </c>
      <c r="N556" s="181" t="s">
        <v>17</v>
      </c>
      <c r="O556" s="7"/>
      <c r="P556" s="105" t="s">
        <v>16</v>
      </c>
      <c r="Q556" s="104" t="s">
        <v>171</v>
      </c>
      <c r="R556" s="105" t="s">
        <v>10</v>
      </c>
      <c r="S556" s="104"/>
      <c r="T556" s="106"/>
      <c r="U556" s="106" t="s">
        <v>24</v>
      </c>
      <c r="V556" s="104" t="s">
        <v>24</v>
      </c>
      <c r="W556" s="3" t="s">
        <v>10</v>
      </c>
      <c r="X556" s="3" t="s">
        <v>10</v>
      </c>
      <c r="Y556" s="182" t="str">
        <f>_xlfn.LET(_xlpm.v,_xlfn.XLOOKUP(E556,'[1]SME09-01_LHM'!$D:$D,'[1]SME09-01_LHM'!$AL:$AL),IF(_xlpm.v=0,"",_xlpm.v))</f>
        <v>IBT-144</v>
      </c>
      <c r="Z556" s="104" t="str">
        <f>_xlfn.LET(_xlpm.v,IF(ISTEXT(Y556),_xlfn.XLOOKUP(Y556,'JP-PINT'!A:A,'JP-PINT'!B:B),""),IF(ISERROR(_xlpm.v),"",_xlpm.v))</f>
        <v>&gt;&gt; Invoice line charge reason</v>
      </c>
      <c r="AA556" s="16" t="s">
        <v>8</v>
      </c>
    </row>
    <row r="557" spans="1:27" s="6" customFormat="1" ht="12.75" customHeight="1">
      <c r="A557" s="4">
        <f>IF(ISTEXT(E557),_xlfn.XLOOKUP(E557,'[1]SME09-01_LHM'!$D:$D,'[1]SME09-01_LHM'!$B:$B))</f>
        <v>686</v>
      </c>
      <c r="B557" s="4">
        <f>_xlfn.XLOOKUP(F557,'[1]SME09-01_LHM'!$I:$I,'[1]SME09-01_LHM'!$B:$B)</f>
        <v>686</v>
      </c>
      <c r="C557" s="22">
        <f>ROW()-25</f>
        <v>532</v>
      </c>
      <c r="D557" s="16" t="s">
        <v>56</v>
      </c>
      <c r="E557" s="16" t="s">
        <v>169</v>
      </c>
      <c r="F557" s="18" t="s">
        <v>168</v>
      </c>
      <c r="G557" s="17" t="s">
        <v>167</v>
      </c>
      <c r="H557" s="16" t="s">
        <v>8</v>
      </c>
      <c r="I557" s="16" t="s">
        <v>19</v>
      </c>
      <c r="J557" s="188" t="s">
        <v>18</v>
      </c>
      <c r="K557" s="181" t="s">
        <v>18</v>
      </c>
      <c r="L557" s="181" t="s">
        <v>18</v>
      </c>
      <c r="M557" s="186"/>
      <c r="N557" s="181" t="s">
        <v>17</v>
      </c>
      <c r="O557" s="7"/>
      <c r="P557" s="105" t="s">
        <v>16</v>
      </c>
      <c r="Q557" s="105" t="s">
        <v>166</v>
      </c>
      <c r="R557" s="105" t="s">
        <v>10</v>
      </c>
      <c r="S557" s="104"/>
      <c r="T557" s="106"/>
      <c r="U557" s="106" t="s">
        <v>24</v>
      </c>
      <c r="V557" s="104" t="s">
        <v>24</v>
      </c>
      <c r="W557" s="3" t="s">
        <v>10</v>
      </c>
      <c r="X557" s="3" t="s">
        <v>10</v>
      </c>
      <c r="Y557" s="182" t="str">
        <f>_xlfn.LET(_xlpm.v,_xlfn.XLOOKUP(E557,'[1]SME09-01_LHM'!$D:$D,'[1]SME09-01_LHM'!$AL:$AL),IF(_xlpm.v=0,"",_xlpm.v))</f>
        <v>IBT-142</v>
      </c>
      <c r="Z557" s="104" t="str">
        <f>_xlfn.LET(_xlpm.v,IF(ISTEXT(Y557),_xlfn.XLOOKUP(Y557,'JP-PINT'!A:A,'JP-PINT'!B:B),""),IF(ISERROR(_xlpm.v),"",_xlpm.v))</f>
        <v>&gt;&gt; Invoice line charge base amount</v>
      </c>
      <c r="AA557" s="23" t="s">
        <v>8</v>
      </c>
    </row>
    <row r="558" spans="1:27" s="45" customFormat="1" ht="12.75" customHeight="1">
      <c r="A558" s="4">
        <f>IF(ISTEXT(E558),_xlfn.XLOOKUP(E558,'[1]SME09-01_LHM'!$D:$D,'[1]SME09-01_LHM'!$B:$B))</f>
        <v>687</v>
      </c>
      <c r="B558" s="4">
        <f>_xlfn.XLOOKUP(F558,'[1]SME09-01_LHM'!$I:$I,'[1]SME09-01_LHM'!$B:$B)</f>
        <v>687</v>
      </c>
      <c r="C558" s="37"/>
      <c r="D558" s="35"/>
      <c r="E558" s="35" t="s">
        <v>2808</v>
      </c>
      <c r="F558" s="93" t="s">
        <v>2811</v>
      </c>
      <c r="G558" s="37"/>
      <c r="H558" s="35" t="s">
        <v>8</v>
      </c>
      <c r="I558" s="35"/>
      <c r="J558" s="284"/>
      <c r="K558" s="284"/>
      <c r="L558" s="284"/>
      <c r="M558" s="197"/>
      <c r="N558" s="35"/>
      <c r="O558" s="41"/>
      <c r="P558" s="148"/>
      <c r="Q558" s="148" t="s">
        <v>164</v>
      </c>
      <c r="R558" s="148" t="s">
        <v>25</v>
      </c>
      <c r="S558" s="130"/>
      <c r="T558" s="149"/>
      <c r="U558" s="149"/>
      <c r="V558" s="148"/>
      <c r="W558" s="40"/>
      <c r="X558" s="40"/>
      <c r="Y558" s="182" t="str">
        <f>_xlfn.LET(_xlpm.v,_xlfn.XLOOKUP(E558,'[1]SME09-01_LHM'!$D:$D,'[1]SME09-01_LHM'!$AL:$AL),IF(_xlpm.v=0,"",_xlpm.v))</f>
        <v/>
      </c>
      <c r="Z558" s="104" t="str">
        <f>_xlfn.LET(_xlpm.v,IF(ISTEXT(Y558),_xlfn.XLOOKUP(Y558,'JP-PINT'!A:A,'JP-PINT'!B:B),""),IF(ISERROR(_xlpm.v),"",_xlpm.v))</f>
        <v/>
      </c>
      <c r="AA558" s="35"/>
    </row>
    <row r="559" spans="1:27" s="45" customFormat="1" ht="12.75" customHeight="1">
      <c r="A559" s="4" t="e">
        <f>IF(ISTEXT(E559),_xlfn.XLOOKUP(E559,'[1]SME09-01_LHM'!$D:$D,'[1]SME09-01_LHM'!$B:$B))</f>
        <v>#N/A</v>
      </c>
      <c r="B559" s="4">
        <f>_xlfn.XLOOKUP(F559,'[1]SME09-01_LHM'!$I:$I,'[1]SME09-01_LHM'!$B:$B)</f>
        <v>676.1</v>
      </c>
      <c r="C559" s="37"/>
      <c r="D559" s="35"/>
      <c r="E559" s="35" t="s">
        <v>2809</v>
      </c>
      <c r="F559" s="93" t="s">
        <v>2805</v>
      </c>
      <c r="G559" s="37" t="s">
        <v>163</v>
      </c>
      <c r="H559" s="35" t="s">
        <v>8</v>
      </c>
      <c r="I559" s="35"/>
      <c r="J559" s="284"/>
      <c r="K559" s="284"/>
      <c r="L559" s="284"/>
      <c r="M559" s="197"/>
      <c r="N559" s="35"/>
      <c r="O559" s="41"/>
      <c r="P559" s="148"/>
      <c r="Q559" s="130" t="s">
        <v>162</v>
      </c>
      <c r="R559" s="148" t="s">
        <v>10</v>
      </c>
      <c r="S559" s="130" t="s">
        <v>161</v>
      </c>
      <c r="T559" s="149" t="s">
        <v>158</v>
      </c>
      <c r="U559" s="149"/>
      <c r="V559" s="148"/>
      <c r="W559" s="40"/>
      <c r="X559" s="40"/>
      <c r="Y559" s="182"/>
      <c r="Z559" s="104" t="str">
        <f>_xlfn.LET(_xlpm.v,IF(ISTEXT(Y559),_xlfn.XLOOKUP(Y559,'JP-PINT'!A:A,'JP-PINT'!B:B),""),IF(ISERROR(_xlpm.v),"",_xlpm.v))</f>
        <v/>
      </c>
      <c r="AA559" s="35"/>
    </row>
    <row r="560" spans="1:27" s="45" customFormat="1" ht="12.75" customHeight="1">
      <c r="A560" s="4" t="e">
        <f>IF(ISTEXT(E560),_xlfn.XLOOKUP(E560,'[1]SME09-01_LHM'!$D:$D,'[1]SME09-01_LHM'!$B:$B))</f>
        <v>#N/A</v>
      </c>
      <c r="B560" s="4">
        <f>_xlfn.XLOOKUP(F560,'[1]SME09-01_LHM'!$I:$I,'[1]SME09-01_LHM'!$B:$B)</f>
        <v>677</v>
      </c>
      <c r="C560" s="37"/>
      <c r="D560" s="35"/>
      <c r="E560" s="35" t="s">
        <v>2812</v>
      </c>
      <c r="F560" s="93" t="s">
        <v>2806</v>
      </c>
      <c r="G560" s="37" t="s">
        <v>160</v>
      </c>
      <c r="H560" s="35" t="s">
        <v>8</v>
      </c>
      <c r="I560" s="35"/>
      <c r="J560" s="284"/>
      <c r="K560" s="284"/>
      <c r="L560" s="284"/>
      <c r="M560" s="197"/>
      <c r="N560" s="35"/>
      <c r="O560" s="41"/>
      <c r="P560" s="148"/>
      <c r="Q560" s="148" t="s">
        <v>156</v>
      </c>
      <c r="R560" s="148" t="s">
        <v>10</v>
      </c>
      <c r="S560" s="275" t="s">
        <v>159</v>
      </c>
      <c r="T560" s="276" t="s">
        <v>158</v>
      </c>
      <c r="U560" s="149"/>
      <c r="V560" s="148"/>
      <c r="W560" s="40"/>
      <c r="X560" s="40"/>
      <c r="Y560" s="182"/>
      <c r="Z560" s="104" t="str">
        <f>_xlfn.LET(_xlpm.v,IF(ISTEXT(Y560),_xlfn.XLOOKUP(Y560,'JP-PINT'!A:A,'JP-PINT'!B:B),""),IF(ISERROR(_xlpm.v),"",_xlpm.v))</f>
        <v/>
      </c>
      <c r="AA560" s="35"/>
    </row>
    <row r="561" spans="1:27" s="45" customFormat="1" ht="12.75" customHeight="1">
      <c r="A561" s="4" t="e">
        <f>IF(ISTEXT(E561),_xlfn.XLOOKUP(E561,'[1]SME09-01_LHM'!$D:$D,'[1]SME09-01_LHM'!$B:$B))</f>
        <v>#N/A</v>
      </c>
      <c r="B561" s="4">
        <f>_xlfn.XLOOKUP(F561,'[1]SME09-01_LHM'!$I:$I,'[1]SME09-01_LHM'!$B:$B)</f>
        <v>678</v>
      </c>
      <c r="C561" s="37"/>
      <c r="D561" s="35"/>
      <c r="E561" s="35" t="s">
        <v>2813</v>
      </c>
      <c r="F561" s="93" t="s">
        <v>2807</v>
      </c>
      <c r="G561" s="37" t="s">
        <v>157</v>
      </c>
      <c r="H561" s="35" t="s">
        <v>8</v>
      </c>
      <c r="I561" s="35"/>
      <c r="J561" s="284"/>
      <c r="K561" s="284"/>
      <c r="L561" s="284"/>
      <c r="M561" s="197"/>
      <c r="N561" s="35"/>
      <c r="O561" s="41"/>
      <c r="P561" s="148"/>
      <c r="Q561" s="148" t="s">
        <v>156</v>
      </c>
      <c r="R561" s="148" t="s">
        <v>10</v>
      </c>
      <c r="S561" s="130"/>
      <c r="T561" s="149"/>
      <c r="U561" s="149"/>
      <c r="V561" s="148"/>
      <c r="W561" s="40"/>
      <c r="X561" s="40"/>
      <c r="Y561" s="182"/>
      <c r="Z561" s="104" t="str">
        <f>_xlfn.LET(_xlpm.v,IF(ISTEXT(Y561),_xlfn.XLOOKUP(Y561,'JP-PINT'!A:A,'JP-PINT'!B:B),""),IF(ISERROR(_xlpm.v),"",_xlpm.v))</f>
        <v/>
      </c>
      <c r="AA561" s="35"/>
    </row>
    <row r="562" spans="1:27" ht="12.75" customHeight="1">
      <c r="A562" s="4">
        <f>IF(ISTEXT(E562),_xlfn.XLOOKUP(E562,'[1]SME09-01_LHM'!$D:$D,'[1]SME09-01_LHM'!$B:$B))</f>
        <v>691</v>
      </c>
      <c r="B562" s="4">
        <f>_xlfn.XLOOKUP(F562,'[1]SME09-01_LHM'!$I:$I,'[1]SME09-01_LHM'!$B:$B)</f>
        <v>691</v>
      </c>
      <c r="C562" s="22">
        <f>ROW()-25</f>
        <v>537</v>
      </c>
      <c r="D562" s="26" t="s">
        <v>23</v>
      </c>
      <c r="E562" s="208" t="s">
        <v>155</v>
      </c>
      <c r="F562" s="93" t="s">
        <v>2814</v>
      </c>
      <c r="G562" s="25" t="s">
        <v>154</v>
      </c>
      <c r="H562" s="26" t="s">
        <v>128</v>
      </c>
      <c r="I562" s="26" t="s">
        <v>143</v>
      </c>
      <c r="J562" s="201" t="s">
        <v>142</v>
      </c>
      <c r="K562" s="377" t="s">
        <v>142</v>
      </c>
      <c r="L562" s="377" t="s">
        <v>142</v>
      </c>
      <c r="M562" s="189"/>
      <c r="N562" s="181" t="s">
        <v>46</v>
      </c>
      <c r="O562" s="293"/>
      <c r="P562" s="105" t="s">
        <v>16</v>
      </c>
      <c r="Q562" s="102" t="s">
        <v>153</v>
      </c>
      <c r="R562" s="105" t="s">
        <v>25</v>
      </c>
      <c r="S562" s="104"/>
      <c r="T562" s="106" t="s">
        <v>103</v>
      </c>
      <c r="U562" s="106" t="s">
        <v>24</v>
      </c>
      <c r="V562" s="105" t="s">
        <v>24</v>
      </c>
      <c r="W562" s="294" t="s">
        <v>25</v>
      </c>
      <c r="X562" s="294" t="s">
        <v>25</v>
      </c>
      <c r="Y562" s="182" t="str">
        <f>_xlfn.LET(_xlpm.v,_xlfn.XLOOKUP(E562,'[1]SME09-01_LHM'!$D:$D,'[1]SME09-01_LHM'!$AL:$AL),IF(_xlpm.v=0,"",_xlpm.v))</f>
        <v>IBG-26</v>
      </c>
      <c r="Z562" s="104" t="str">
        <f>_xlfn.LET(_xlpm.v,IF(ISTEXT(Y562),_xlfn.XLOOKUP(Y562,'JP-PINT'!A:A,'JP-PINT'!B:B),""),IF(ISERROR(_xlpm.v),"",_xlpm.v))</f>
        <v>&gt; INVOICE LINE PERIOD</v>
      </c>
      <c r="AA562" s="295" t="s">
        <v>8</v>
      </c>
    </row>
    <row r="563" spans="1:27" s="296" customFormat="1" ht="12.75" customHeight="1">
      <c r="A563" s="4">
        <f>IF(ISTEXT(E563),_xlfn.XLOOKUP(E563,'[1]SME09-01_LHM'!$D:$D,'[1]SME09-01_LHM'!$B:$B))</f>
        <v>693</v>
      </c>
      <c r="B563" s="4">
        <f>_xlfn.XLOOKUP(F563,'[1]SME09-01_LHM'!$I:$I,'[1]SME09-01_LHM'!$B:$B)</f>
        <v>693</v>
      </c>
      <c r="C563" s="22">
        <f>ROW()-25</f>
        <v>538</v>
      </c>
      <c r="D563" s="16" t="s">
        <v>23</v>
      </c>
      <c r="E563" s="16" t="s">
        <v>151</v>
      </c>
      <c r="F563" s="18" t="s">
        <v>150</v>
      </c>
      <c r="G563" s="18" t="s">
        <v>149</v>
      </c>
      <c r="H563" s="16" t="s">
        <v>28</v>
      </c>
      <c r="I563" s="16" t="s">
        <v>143</v>
      </c>
      <c r="J563" s="188" t="s">
        <v>18</v>
      </c>
      <c r="K563" s="188" t="s">
        <v>18</v>
      </c>
      <c r="L563" s="188" t="s">
        <v>18</v>
      </c>
      <c r="M563" s="186"/>
      <c r="N563" s="181" t="s">
        <v>72</v>
      </c>
      <c r="O563" s="7"/>
      <c r="P563" s="105" t="s">
        <v>16</v>
      </c>
      <c r="Q563" s="104" t="s">
        <v>148</v>
      </c>
      <c r="R563" s="105" t="s">
        <v>10</v>
      </c>
      <c r="S563" s="104"/>
      <c r="T563" s="106"/>
      <c r="U563" s="106" t="s">
        <v>24</v>
      </c>
      <c r="V563" s="105" t="s">
        <v>24</v>
      </c>
      <c r="W563" s="3" t="s">
        <v>10</v>
      </c>
      <c r="X563" s="3" t="s">
        <v>10</v>
      </c>
      <c r="Y563" s="182" t="str">
        <f>_xlfn.LET(_xlpm.v,_xlfn.XLOOKUP(E563,'[1]SME09-01_LHM'!$D:$D,'[1]SME09-01_LHM'!$AL:$AL),IF(_xlpm.v=0,"",_xlpm.v))</f>
        <v>IBT-134</v>
      </c>
      <c r="Z563" s="104" t="str">
        <f>_xlfn.LET(_xlpm.v,IF(ISTEXT(Y563),_xlfn.XLOOKUP(Y563,'JP-PINT'!A:A,'JP-PINT'!B:B),""),IF(ISERROR(_xlpm.v),"",_xlpm.v))</f>
        <v>&gt;&gt; Invoice line period start date</v>
      </c>
      <c r="AA563" s="23" t="s">
        <v>8</v>
      </c>
    </row>
    <row r="564" spans="1:27" ht="12.75" customHeight="1">
      <c r="A564" s="4">
        <f>IF(ISTEXT(E564),_xlfn.XLOOKUP(E564,'[1]SME09-01_LHM'!$D:$D,'[1]SME09-01_LHM'!$B:$B))</f>
        <v>694</v>
      </c>
      <c r="B564" s="4">
        <f>_xlfn.XLOOKUP(F564,'[1]SME09-01_LHM'!$I:$I,'[1]SME09-01_LHM'!$B:$B)</f>
        <v>694</v>
      </c>
      <c r="C564" s="22">
        <f>ROW()-25</f>
        <v>539</v>
      </c>
      <c r="D564" s="16" t="s">
        <v>23</v>
      </c>
      <c r="E564" s="16" t="s">
        <v>146</v>
      </c>
      <c r="F564" s="18" t="s">
        <v>145</v>
      </c>
      <c r="G564" s="18" t="s">
        <v>144</v>
      </c>
      <c r="H564" s="16" t="s">
        <v>28</v>
      </c>
      <c r="I564" s="16" t="s">
        <v>143</v>
      </c>
      <c r="J564" s="188" t="s">
        <v>142</v>
      </c>
      <c r="K564" s="188" t="s">
        <v>142</v>
      </c>
      <c r="L564" s="188" t="s">
        <v>142</v>
      </c>
      <c r="M564" s="186"/>
      <c r="N564" s="181" t="s">
        <v>72</v>
      </c>
      <c r="O564" s="7" t="s">
        <v>79</v>
      </c>
      <c r="P564" s="105" t="s">
        <v>16</v>
      </c>
      <c r="Q564" s="104" t="s">
        <v>141</v>
      </c>
      <c r="R564" s="105" t="s">
        <v>10</v>
      </c>
      <c r="S564" s="104"/>
      <c r="T564" s="106"/>
      <c r="U564" s="106" t="s">
        <v>24</v>
      </c>
      <c r="V564" s="105" t="s">
        <v>140</v>
      </c>
      <c r="W564" s="3" t="s">
        <v>10</v>
      </c>
      <c r="X564" s="3" t="s">
        <v>10</v>
      </c>
      <c r="Y564" s="182" t="str">
        <f>_xlfn.LET(_xlpm.v,_xlfn.XLOOKUP(E564,'[1]SME09-01_LHM'!$D:$D,'[1]SME09-01_LHM'!$AL:$AL),IF(_xlpm.v=0,"",_xlpm.v))</f>
        <v>IBT-135</v>
      </c>
      <c r="Z564" s="104" t="str">
        <f>_xlfn.LET(_xlpm.v,IF(ISTEXT(Y564),_xlfn.XLOOKUP(Y564,'JP-PINT'!A:A,'JP-PINT'!B:B),""),IF(ISERROR(_xlpm.v),"",_xlpm.v))</f>
        <v>&gt;&gt; Invoice line period end date</v>
      </c>
      <c r="AA564" s="16" t="s">
        <v>8</v>
      </c>
    </row>
    <row r="565" spans="1:27" s="357" customFormat="1" ht="12.75" customHeight="1">
      <c r="A565" s="4" t="e">
        <f>IF(ISTEXT(E565),_xlfn.XLOOKUP(E565,'[1]SME09-01_LHM'!$D:$D,'[1]SME09-01_LHM'!$B:$B))</f>
        <v>#N/A</v>
      </c>
      <c r="B565" s="4" t="e">
        <f>_xlfn.XLOOKUP(F565,'[1]SME09-01_LHM'!$I:$I,'[1]SME09-01_LHM'!$B:$B)</f>
        <v>#N/A</v>
      </c>
      <c r="C565" s="108">
        <f>ROW()-25</f>
        <v>540</v>
      </c>
      <c r="D565" s="109" t="s">
        <v>132</v>
      </c>
      <c r="E565" s="109" t="s">
        <v>138</v>
      </c>
      <c r="F565" s="110" t="s">
        <v>137</v>
      </c>
      <c r="G565" s="110" t="s">
        <v>136</v>
      </c>
      <c r="H565" s="109" t="s">
        <v>8</v>
      </c>
      <c r="I565" s="109" t="s">
        <v>19</v>
      </c>
      <c r="J565" s="378" t="s">
        <v>135</v>
      </c>
      <c r="K565" s="378" t="s">
        <v>135</v>
      </c>
      <c r="L565" s="378" t="s">
        <v>135</v>
      </c>
      <c r="M565" s="379"/>
      <c r="N565" s="121" t="s">
        <v>27</v>
      </c>
      <c r="O565" s="111"/>
      <c r="P565" s="161" t="s">
        <v>16</v>
      </c>
      <c r="Q565" s="132" t="s">
        <v>134</v>
      </c>
      <c r="R565" s="161" t="s">
        <v>25</v>
      </c>
      <c r="S565" s="132"/>
      <c r="T565" s="162" t="s">
        <v>133</v>
      </c>
      <c r="U565" s="162" t="s">
        <v>24</v>
      </c>
      <c r="V565" s="161" t="s">
        <v>24</v>
      </c>
      <c r="W565" s="112" t="s">
        <v>25</v>
      </c>
      <c r="X565" s="112" t="s">
        <v>25</v>
      </c>
      <c r="Y565" s="182"/>
      <c r="Z565" s="104" t="str">
        <f>_xlfn.LET(_xlpm.v,IF(ISTEXT(Y565),_xlfn.XLOOKUP(Y565,'JP-PINT'!A:A,'JP-PINT'!B:B),""),IF(ISERROR(_xlpm.v),"",_xlpm.v))</f>
        <v/>
      </c>
      <c r="AA565" s="113"/>
    </row>
    <row r="566" spans="1:27" s="357" customFormat="1" ht="12.75" customHeight="1">
      <c r="A566" s="4" t="e">
        <f>IF(ISTEXT(E566),_xlfn.XLOOKUP(E566,'[1]SME09-01_LHM'!$D:$D,'[1]SME09-01_LHM'!$B:$B))</f>
        <v>#N/A</v>
      </c>
      <c r="B566" s="4" t="e">
        <f>_xlfn.XLOOKUP(F566,'[1]SME09-01_LHM'!$I:$I,'[1]SME09-01_LHM'!$B:$B)</f>
        <v>#N/A</v>
      </c>
      <c r="C566" s="116">
        <f>ROW()-25</f>
        <v>541</v>
      </c>
      <c r="D566" s="118" t="s">
        <v>132</v>
      </c>
      <c r="E566" s="118" t="s">
        <v>131</v>
      </c>
      <c r="F566" s="116" t="s">
        <v>130</v>
      </c>
      <c r="G566" s="116" t="s">
        <v>129</v>
      </c>
      <c r="H566" s="118" t="s">
        <v>128</v>
      </c>
      <c r="I566" s="124" t="s">
        <v>127</v>
      </c>
      <c r="J566" s="125" t="s">
        <v>115</v>
      </c>
      <c r="K566" s="125" t="s">
        <v>115</v>
      </c>
      <c r="L566" s="125" t="s">
        <v>115</v>
      </c>
      <c r="M566" s="380"/>
      <c r="N566" s="118"/>
      <c r="O566" s="111"/>
      <c r="P566" s="167" t="s">
        <v>126</v>
      </c>
      <c r="Q566" s="167" t="s">
        <v>125</v>
      </c>
      <c r="R566" s="167" t="s">
        <v>10</v>
      </c>
      <c r="S566" s="131"/>
      <c r="T566" s="168" t="s">
        <v>124</v>
      </c>
      <c r="U566" s="168" t="s">
        <v>123</v>
      </c>
      <c r="V566" s="167"/>
      <c r="W566" s="112" t="s">
        <v>10</v>
      </c>
      <c r="X566" s="112" t="s">
        <v>10</v>
      </c>
      <c r="Y566" s="182"/>
      <c r="Z566" s="104" t="str">
        <f>_xlfn.LET(_xlpm.v,IF(ISTEXT(Y566),_xlfn.XLOOKUP(Y566,'JP-PINT'!A:A,'JP-PINT'!B:B),""),IF(ISERROR(_xlpm.v),"",_xlpm.v))</f>
        <v/>
      </c>
      <c r="AA566" s="118"/>
    </row>
    <row r="567" spans="1:27" s="381" customFormat="1" ht="12.75" customHeight="1">
      <c r="A567" s="4" t="e">
        <f>IF(ISTEXT(E567),_xlfn.XLOOKUP(E567,'[1]SME09-01_LHM'!$D:$D,'[1]SME09-01_LHM'!$B:$B))</f>
        <v>#N/A</v>
      </c>
      <c r="B567" s="4" t="e">
        <f>_xlfn.XLOOKUP(F567,'[1]SME09-01_LHM'!$I:$I,'[1]SME09-01_LHM'!$B:$B)</f>
        <v>#N/A</v>
      </c>
      <c r="C567" s="108">
        <f>ROW()-25</f>
        <v>542</v>
      </c>
      <c r="D567" s="113" t="s">
        <v>23</v>
      </c>
      <c r="E567" s="118" t="s">
        <v>122</v>
      </c>
      <c r="F567" s="114" t="s">
        <v>121</v>
      </c>
      <c r="G567" s="114" t="s">
        <v>120</v>
      </c>
      <c r="H567" s="113" t="s">
        <v>28</v>
      </c>
      <c r="I567" s="113" t="s">
        <v>19</v>
      </c>
      <c r="J567" s="118" t="s">
        <v>115</v>
      </c>
      <c r="K567" s="118" t="s">
        <v>115</v>
      </c>
      <c r="L567" s="118" t="s">
        <v>115</v>
      </c>
      <c r="M567" s="121"/>
      <c r="N567" s="121" t="s">
        <v>27</v>
      </c>
      <c r="O567" s="111"/>
      <c r="P567" s="161" t="s">
        <v>16</v>
      </c>
      <c r="Q567" s="382" t="s">
        <v>119</v>
      </c>
      <c r="R567" s="161" t="s">
        <v>10</v>
      </c>
      <c r="S567" s="132" t="s">
        <v>64</v>
      </c>
      <c r="T567" s="162" t="s">
        <v>63</v>
      </c>
      <c r="U567" s="162" t="s">
        <v>24</v>
      </c>
      <c r="V567" s="161" t="s">
        <v>24</v>
      </c>
      <c r="W567" s="112" t="s">
        <v>10</v>
      </c>
      <c r="X567" s="112" t="s">
        <v>10</v>
      </c>
      <c r="Y567" s="182"/>
      <c r="Z567" s="104" t="str">
        <f>_xlfn.LET(_xlpm.v,IF(ISTEXT(Y567),_xlfn.XLOOKUP(Y567,'JP-PINT'!A:A,'JP-PINT'!B:B),""),IF(ISERROR(_xlpm.v),"",_xlpm.v))</f>
        <v/>
      </c>
      <c r="AA567" s="121" t="s">
        <v>24</v>
      </c>
    </row>
    <row r="568" spans="1:27" s="304" customFormat="1" ht="12.75" customHeight="1">
      <c r="A568" s="4" t="e">
        <f>IF(ISTEXT(E568),_xlfn.XLOOKUP(E568,'[1]SME09-01_LHM'!$D:$D,'[1]SME09-01_LHM'!$B:$B))</f>
        <v>#N/A</v>
      </c>
      <c r="B568" s="4" t="e">
        <f>_xlfn.XLOOKUP(F568,'[1]SME09-01_LHM'!$I:$I,'[1]SME09-01_LHM'!$B:$B)</f>
        <v>#N/A</v>
      </c>
      <c r="C568" s="108">
        <f>ROW()-25</f>
        <v>543</v>
      </c>
      <c r="D568" s="113" t="s">
        <v>23</v>
      </c>
      <c r="E568" s="118" t="s">
        <v>118</v>
      </c>
      <c r="F568" s="114" t="s">
        <v>117</v>
      </c>
      <c r="G568" s="114" t="s">
        <v>116</v>
      </c>
      <c r="H568" s="113" t="s">
        <v>8</v>
      </c>
      <c r="I568" s="113" t="s">
        <v>19</v>
      </c>
      <c r="J568" s="118" t="s">
        <v>115</v>
      </c>
      <c r="K568" s="118" t="s">
        <v>115</v>
      </c>
      <c r="L568" s="118" t="s">
        <v>115</v>
      </c>
      <c r="M568" s="121"/>
      <c r="N568" s="328" t="s">
        <v>46</v>
      </c>
      <c r="O568" s="111"/>
      <c r="P568" s="161" t="s">
        <v>16</v>
      </c>
      <c r="Q568" s="382" t="s">
        <v>114</v>
      </c>
      <c r="R568" s="161" t="s">
        <v>10</v>
      </c>
      <c r="S568" s="132" t="s">
        <v>24</v>
      </c>
      <c r="T568" s="162" t="s">
        <v>24</v>
      </c>
      <c r="U568" s="162" t="s">
        <v>24</v>
      </c>
      <c r="V568" s="161" t="s">
        <v>24</v>
      </c>
      <c r="W568" s="112" t="s">
        <v>10</v>
      </c>
      <c r="X568" s="112" t="s">
        <v>10</v>
      </c>
      <c r="Y568" s="182"/>
      <c r="Z568" s="104" t="str">
        <f>_xlfn.LET(_xlpm.v,IF(ISTEXT(Y568),_xlfn.XLOOKUP(Y568,'JP-PINT'!A:A,'JP-PINT'!B:B),""),IF(ISERROR(_xlpm.v),"",_xlpm.v))</f>
        <v/>
      </c>
      <c r="AA568" s="121" t="s">
        <v>28</v>
      </c>
    </row>
    <row r="569" spans="1:27" s="45" customFormat="1" ht="12.75" customHeight="1">
      <c r="A569" s="4">
        <f>IF(ISTEXT(E569),_xlfn.XLOOKUP(E569,'[1]SME09-01_LHM'!$D:$D,'[1]SME09-01_LHM'!$B:$B))</f>
        <v>556</v>
      </c>
      <c r="B569" s="4">
        <f>_xlfn.XLOOKUP(F569,'[1]SME09-01_LHM'!$I:$I,'[1]SME09-01_LHM'!$B:$B)</f>
        <v>556</v>
      </c>
      <c r="C569" s="22">
        <f>ROW()-25</f>
        <v>544</v>
      </c>
      <c r="D569" s="26" t="s">
        <v>23</v>
      </c>
      <c r="E569" s="26" t="s">
        <v>590</v>
      </c>
      <c r="F569" s="93" t="s">
        <v>2777</v>
      </c>
      <c r="G569" s="25" t="s">
        <v>589</v>
      </c>
      <c r="H569" s="26" t="s">
        <v>43</v>
      </c>
      <c r="I569" s="26" t="s">
        <v>52</v>
      </c>
      <c r="J569" s="383" t="s">
        <v>18</v>
      </c>
      <c r="K569" s="383" t="s">
        <v>18</v>
      </c>
      <c r="L569" s="383" t="s">
        <v>18</v>
      </c>
      <c r="M569" s="195" t="s">
        <v>73</v>
      </c>
      <c r="N569" s="70" t="s">
        <v>588</v>
      </c>
      <c r="O569" s="7"/>
      <c r="P569" s="105" t="s">
        <v>16</v>
      </c>
      <c r="Q569" s="105" t="s">
        <v>587</v>
      </c>
      <c r="R569" s="105" t="s">
        <v>25</v>
      </c>
      <c r="S569" s="198"/>
      <c r="T569" s="71" t="s">
        <v>133</v>
      </c>
      <c r="U569" s="71" t="s">
        <v>24</v>
      </c>
      <c r="V569" s="66" t="s">
        <v>24</v>
      </c>
      <c r="W569" s="3" t="s">
        <v>25</v>
      </c>
      <c r="X569" s="3" t="s">
        <v>25</v>
      </c>
      <c r="Y569" s="182" t="str">
        <f>_xlfn.LET(_xlpm.v,_xlfn.XLOOKUP(E569,'[1]SME09-01_LHM'!$D:$D,'[1]SME09-01_LHM'!$AL:$AL),IF(_xlpm.v=0,"",_xlpm.v))</f>
        <v/>
      </c>
      <c r="Z569" s="104" t="str">
        <f>_xlfn.LET(_xlpm.v,IF(ISTEXT(Y569),_xlfn.XLOOKUP(Y569,'JP-PINT'!A:A,'JP-PINT'!B:B),""),IF(ISERROR(_xlpm.v),"",_xlpm.v))</f>
        <v/>
      </c>
      <c r="AA569" s="23" t="s">
        <v>24</v>
      </c>
    </row>
    <row r="570" spans="1:27" s="6" customFormat="1" ht="12.75" customHeight="1">
      <c r="A570" s="4">
        <f>IF(ISTEXT(E570),_xlfn.XLOOKUP(E570,'[1]SME09-01_LHM'!$D:$D,'[1]SME09-01_LHM'!$B:$B))</f>
        <v>558</v>
      </c>
      <c r="B570" s="4">
        <f>_xlfn.XLOOKUP(F570,'[1]SME09-01_LHM'!$I:$I,'[1]SME09-01_LHM'!$B:$B)</f>
        <v>558</v>
      </c>
      <c r="C570" s="22">
        <f>ROW()-25</f>
        <v>545</v>
      </c>
      <c r="D570" s="16" t="s">
        <v>23</v>
      </c>
      <c r="E570" s="16" t="s">
        <v>586</v>
      </c>
      <c r="F570" s="18" t="s">
        <v>585</v>
      </c>
      <c r="G570" s="18" t="s">
        <v>584</v>
      </c>
      <c r="H570" s="16" t="s">
        <v>8</v>
      </c>
      <c r="I570" s="16" t="s">
        <v>19</v>
      </c>
      <c r="J570" s="188" t="s">
        <v>18</v>
      </c>
      <c r="K570" s="181" t="s">
        <v>18</v>
      </c>
      <c r="L570" s="181" t="s">
        <v>18</v>
      </c>
      <c r="M570" s="186"/>
      <c r="N570" s="23" t="s">
        <v>27</v>
      </c>
      <c r="O570" s="7"/>
      <c r="P570" s="105" t="s">
        <v>16</v>
      </c>
      <c r="Q570" s="105" t="s">
        <v>583</v>
      </c>
      <c r="R570" s="105" t="s">
        <v>10</v>
      </c>
      <c r="S570" s="104"/>
      <c r="T570" s="103"/>
      <c r="U570" s="103" t="s">
        <v>24</v>
      </c>
      <c r="V570" s="105" t="s">
        <v>24</v>
      </c>
      <c r="W570" s="3" t="s">
        <v>10</v>
      </c>
      <c r="X570" s="3" t="s">
        <v>10</v>
      </c>
      <c r="Y570" s="182" t="str">
        <f>_xlfn.LET(_xlpm.v,_xlfn.XLOOKUP(E570,'[1]SME09-01_LHM'!$D:$D,'[1]SME09-01_LHM'!$AL:$AL),IF(_xlpm.v=0,"",_xlpm.v))</f>
        <v/>
      </c>
      <c r="Z570" s="104" t="str">
        <f>_xlfn.LET(_xlpm.v,IF(ISTEXT(Y570),_xlfn.XLOOKUP(Y570,'JP-PINT'!A:A,'JP-PINT'!B:B),""),IF(ISERROR(_xlpm.v),"",_xlpm.v))</f>
        <v/>
      </c>
      <c r="AA570" s="23" t="s">
        <v>24</v>
      </c>
    </row>
    <row r="571" spans="1:27" s="6" customFormat="1" ht="12.75" customHeight="1">
      <c r="A571" s="4">
        <f>IF(ISTEXT(E571),_xlfn.XLOOKUP(E571,'[1]SME09-01_LHM'!$D:$D,'[1]SME09-01_LHM'!$B:$B))</f>
        <v>559</v>
      </c>
      <c r="B571" s="4">
        <f>_xlfn.XLOOKUP(F571,'[1]SME09-01_LHM'!$I:$I,'[1]SME09-01_LHM'!$B:$B)</f>
        <v>559</v>
      </c>
      <c r="C571" s="22">
        <f>ROW()-25</f>
        <v>546</v>
      </c>
      <c r="D571" s="16" t="s">
        <v>23</v>
      </c>
      <c r="E571" s="16" t="s">
        <v>582</v>
      </c>
      <c r="F571" s="18" t="s">
        <v>581</v>
      </c>
      <c r="G571" s="18" t="s">
        <v>580</v>
      </c>
      <c r="H571" s="16" t="s">
        <v>8</v>
      </c>
      <c r="I571" s="16" t="s">
        <v>19</v>
      </c>
      <c r="J571" s="188" t="s">
        <v>18</v>
      </c>
      <c r="K571" s="181" t="s">
        <v>18</v>
      </c>
      <c r="L571" s="181" t="s">
        <v>18</v>
      </c>
      <c r="M571" s="195" t="s">
        <v>73</v>
      </c>
      <c r="N571" s="181" t="s">
        <v>17</v>
      </c>
      <c r="O571" s="7"/>
      <c r="P571" s="105" t="s">
        <v>16</v>
      </c>
      <c r="Q571" s="105" t="s">
        <v>579</v>
      </c>
      <c r="R571" s="105" t="s">
        <v>10</v>
      </c>
      <c r="S571" s="104"/>
      <c r="T571" s="103"/>
      <c r="U571" s="103" t="s">
        <v>24</v>
      </c>
      <c r="V571" s="105" t="s">
        <v>24</v>
      </c>
      <c r="W571" s="3" t="s">
        <v>10</v>
      </c>
      <c r="X571" s="3" t="s">
        <v>10</v>
      </c>
      <c r="Y571" s="182" t="str">
        <f>_xlfn.LET(_xlpm.v,_xlfn.XLOOKUP(E571,'[1]SME09-01_LHM'!$D:$D,'[1]SME09-01_LHM'!$AL:$AL),IF(_xlpm.v=0,"",_xlpm.v))</f>
        <v>IBT-127</v>
      </c>
      <c r="Z571" s="104" t="str">
        <f>_xlfn.LET(_xlpm.v,IF(ISTEXT(Y571),_xlfn.XLOOKUP(Y571,'JP-PINT'!A:A,'JP-PINT'!B:B),""),IF(ISERROR(_xlpm.v),"",_xlpm.v))</f>
        <v>&gt; Invoice line note</v>
      </c>
      <c r="AA571" s="16" t="s">
        <v>8</v>
      </c>
    </row>
    <row r="572" spans="1:27" s="6" customFormat="1" ht="12.75" customHeight="1">
      <c r="A572" s="4">
        <f>IF(ISTEXT(E572),_xlfn.XLOOKUP(E572,'[1]SME09-01_LHM'!$D:$D,'[1]SME09-01_LHM'!$B:$B))</f>
        <v>560</v>
      </c>
      <c r="B572" s="4">
        <f>_xlfn.XLOOKUP(F572,'[1]SME09-01_LHM'!$I:$I,'[1]SME09-01_LHM'!$B:$B)</f>
        <v>560</v>
      </c>
      <c r="C572" s="22">
        <f>ROW()-25</f>
        <v>547</v>
      </c>
      <c r="D572" s="16" t="s">
        <v>23</v>
      </c>
      <c r="E572" s="16" t="s">
        <v>577</v>
      </c>
      <c r="F572" s="18" t="s">
        <v>576</v>
      </c>
      <c r="G572" s="18" t="s">
        <v>575</v>
      </c>
      <c r="H572" s="16" t="s">
        <v>8</v>
      </c>
      <c r="I572" s="16" t="s">
        <v>19</v>
      </c>
      <c r="J572" s="188" t="s">
        <v>574</v>
      </c>
      <c r="K572" s="181" t="s">
        <v>574</v>
      </c>
      <c r="L572" s="181" t="s">
        <v>574</v>
      </c>
      <c r="M572" s="186"/>
      <c r="N572" s="23" t="s">
        <v>27</v>
      </c>
      <c r="O572" s="7"/>
      <c r="P572" s="105" t="s">
        <v>16</v>
      </c>
      <c r="Q572" s="105" t="s">
        <v>573</v>
      </c>
      <c r="R572" s="105" t="s">
        <v>10</v>
      </c>
      <c r="S572" s="104"/>
      <c r="T572" s="106" t="s">
        <v>103</v>
      </c>
      <c r="U572" s="106" t="s">
        <v>24</v>
      </c>
      <c r="V572" s="105" t="s">
        <v>24</v>
      </c>
      <c r="W572" s="3" t="s">
        <v>10</v>
      </c>
      <c r="X572" s="3" t="s">
        <v>10</v>
      </c>
      <c r="Y572" s="182" t="str">
        <f>_xlfn.LET(_xlpm.v,_xlfn.XLOOKUP(E572,'[1]SME09-01_LHM'!$D:$D,'[1]SME09-01_LHM'!$AL:$AL),IF(_xlpm.v=0,"",_xlpm.v))</f>
        <v/>
      </c>
      <c r="Z572" s="104" t="str">
        <f>_xlfn.LET(_xlpm.v,IF(ISTEXT(Y572),_xlfn.XLOOKUP(Y572,'JP-PINT'!A:A,'JP-PINT'!B:B),""),IF(ISERROR(_xlpm.v),"",_xlpm.v))</f>
        <v/>
      </c>
      <c r="AA572" s="23" t="s">
        <v>24</v>
      </c>
    </row>
    <row r="573" spans="1:27" ht="12.75" customHeight="1">
      <c r="L573" s="385" t="s">
        <v>7</v>
      </c>
      <c r="M573" s="385">
        <f>COUNTIF(M2:M568,"※")</f>
        <v>38</v>
      </c>
    </row>
    <row r="574" spans="1:27" s="11" customFormat="1" ht="12.75" customHeight="1">
      <c r="C574" s="5" t="s">
        <v>6</v>
      </c>
      <c r="D574" s="15"/>
      <c r="E574" s="15"/>
      <c r="F574" s="12"/>
      <c r="G574" s="12"/>
      <c r="H574" s="13"/>
      <c r="I574" s="13"/>
      <c r="J574" s="12"/>
      <c r="K574" s="4"/>
      <c r="L574" s="4"/>
      <c r="M574" s="4"/>
      <c r="N574" s="4"/>
      <c r="O574" s="7"/>
      <c r="P574" s="137"/>
      <c r="Q574" s="137"/>
      <c r="R574" s="137"/>
      <c r="S574" s="127"/>
      <c r="T574" s="137"/>
      <c r="U574" s="137"/>
      <c r="V574" s="137"/>
      <c r="W574" s="3"/>
      <c r="X574" s="3"/>
      <c r="Y574" s="2"/>
      <c r="Z574" s="126"/>
      <c r="AA574" s="4"/>
    </row>
    <row r="575" spans="1:27" s="11" customFormat="1" ht="12.75" customHeight="1">
      <c r="C575" s="1"/>
      <c r="D575" s="14"/>
      <c r="E575" s="2" t="s">
        <v>5</v>
      </c>
      <c r="F575" s="12"/>
      <c r="G575" s="12"/>
      <c r="H575" s="13"/>
      <c r="I575" s="13"/>
      <c r="J575" s="12"/>
      <c r="K575" s="4"/>
      <c r="L575" s="4"/>
      <c r="M575" s="4"/>
      <c r="N575" s="4"/>
      <c r="O575" s="7"/>
      <c r="P575" s="137"/>
      <c r="Q575" s="137"/>
      <c r="R575" s="137"/>
      <c r="S575" s="127"/>
      <c r="T575" s="137"/>
      <c r="U575" s="137"/>
      <c r="V575" s="137"/>
      <c r="W575" s="3"/>
      <c r="X575" s="3"/>
      <c r="Y575" s="2"/>
      <c r="Z575" s="126"/>
      <c r="AA575" s="4"/>
    </row>
    <row r="576" spans="1:27" s="11" customFormat="1" ht="12.75" customHeight="1">
      <c r="C576" s="4"/>
      <c r="D576" s="386"/>
      <c r="E576" s="4" t="s">
        <v>4</v>
      </c>
      <c r="F576" s="6"/>
      <c r="G576" s="6"/>
      <c r="H576" s="8"/>
      <c r="I576" s="8"/>
      <c r="J576" s="6"/>
      <c r="K576" s="4"/>
      <c r="L576" s="4"/>
      <c r="M576" s="4"/>
      <c r="N576" s="4"/>
      <c r="O576" s="3"/>
      <c r="P576" s="135"/>
      <c r="Q576" s="137"/>
      <c r="R576" s="137"/>
      <c r="S576" s="137"/>
      <c r="T576" s="137"/>
      <c r="U576" s="137"/>
      <c r="V576" s="137"/>
      <c r="W576" s="3"/>
      <c r="X576" s="3"/>
      <c r="Y576" s="2"/>
      <c r="Z576" s="126"/>
    </row>
    <row r="577" spans="3:26" s="11" customFormat="1" ht="12.75" customHeight="1">
      <c r="C577" s="4"/>
      <c r="D577" s="28"/>
      <c r="E577" s="4" t="s">
        <v>3</v>
      </c>
      <c r="F577" s="6"/>
      <c r="G577" s="6"/>
      <c r="H577" s="8"/>
      <c r="I577" s="8"/>
      <c r="J577" s="6"/>
      <c r="K577" s="4"/>
      <c r="L577" s="4"/>
      <c r="M577" s="4"/>
      <c r="N577" s="4"/>
      <c r="O577" s="3"/>
      <c r="P577" s="135"/>
      <c r="Q577" s="137"/>
      <c r="R577" s="137"/>
      <c r="S577" s="137"/>
      <c r="T577" s="137"/>
      <c r="U577" s="137"/>
      <c r="V577" s="137"/>
      <c r="W577" s="3"/>
      <c r="X577" s="3"/>
      <c r="Y577" s="2"/>
      <c r="Z577" s="126"/>
    </row>
    <row r="578" spans="3:26" s="11" customFormat="1" ht="12.75" customHeight="1">
      <c r="C578" s="4"/>
      <c r="D578" s="100"/>
      <c r="E578" s="4" t="s">
        <v>2</v>
      </c>
      <c r="F578" s="6"/>
      <c r="G578" s="6"/>
      <c r="H578" s="8"/>
      <c r="I578" s="8"/>
      <c r="J578" s="6"/>
      <c r="K578" s="4"/>
      <c r="L578" s="4"/>
      <c r="M578" s="4"/>
      <c r="N578" s="4"/>
      <c r="O578" s="3"/>
      <c r="P578" s="135"/>
      <c r="Q578" s="137"/>
      <c r="R578" s="137"/>
      <c r="S578" s="137"/>
      <c r="T578" s="137"/>
      <c r="U578" s="137"/>
      <c r="V578" s="137"/>
      <c r="W578" s="3"/>
      <c r="X578" s="3"/>
      <c r="Y578" s="2"/>
      <c r="Z578" s="126"/>
    </row>
    <row r="579" spans="3:26" ht="12.75" customHeight="1">
      <c r="D579" s="10"/>
      <c r="E579" s="5" t="s">
        <v>1</v>
      </c>
    </row>
    <row r="580" spans="3:26" ht="12.75" customHeight="1">
      <c r="D580" s="9"/>
      <c r="E580" s="5" t="s">
        <v>0</v>
      </c>
    </row>
    <row r="594" spans="3:26" s="1" customFormat="1" ht="12.75" customHeight="1">
      <c r="C594" s="4"/>
      <c r="E594" s="8"/>
      <c r="F594" s="4"/>
      <c r="G594" s="4"/>
      <c r="I594" s="8"/>
      <c r="J594" s="384"/>
      <c r="K594" s="384"/>
      <c r="L594" s="384"/>
      <c r="M594" s="384"/>
      <c r="N594" s="387"/>
      <c r="O594" s="7"/>
      <c r="P594" s="137"/>
      <c r="Q594" s="137"/>
      <c r="R594" s="134"/>
      <c r="S594" s="126"/>
      <c r="T594" s="169"/>
      <c r="U594" s="169"/>
      <c r="V594" s="137"/>
      <c r="W594" s="3"/>
      <c r="X594" s="3"/>
      <c r="Y594" s="2"/>
      <c r="Z594" s="126"/>
    </row>
    <row r="595" spans="3:26" s="1" customFormat="1" ht="12.75" customHeight="1">
      <c r="C595" s="4"/>
      <c r="E595" s="8"/>
      <c r="F595" s="4"/>
      <c r="G595" s="4"/>
      <c r="I595" s="8"/>
      <c r="J595" s="387"/>
      <c r="K595" s="387"/>
      <c r="L595" s="387"/>
      <c r="M595" s="387"/>
      <c r="N595" s="387"/>
      <c r="O595" s="7"/>
      <c r="P595" s="137"/>
      <c r="Q595" s="137"/>
      <c r="R595" s="134"/>
      <c r="S595" s="126"/>
      <c r="T595" s="169"/>
      <c r="U595" s="169"/>
      <c r="V595" s="137"/>
      <c r="W595" s="3"/>
      <c r="X595" s="3"/>
      <c r="Y595" s="2"/>
      <c r="Z595" s="126"/>
    </row>
    <row r="596" spans="3:26" s="1" customFormat="1" ht="12.75" customHeight="1">
      <c r="C596" s="4"/>
      <c r="E596" s="8"/>
      <c r="F596" s="4"/>
      <c r="G596" s="4"/>
      <c r="I596" s="8"/>
      <c r="J596" s="387"/>
      <c r="K596" s="387"/>
      <c r="L596" s="387"/>
      <c r="M596" s="387"/>
      <c r="N596" s="387"/>
      <c r="O596" s="7"/>
      <c r="P596" s="137"/>
      <c r="Q596" s="137"/>
      <c r="R596" s="134"/>
      <c r="S596" s="126"/>
      <c r="T596" s="169"/>
      <c r="U596" s="169"/>
      <c r="V596" s="137"/>
      <c r="W596" s="3"/>
      <c r="X596" s="3"/>
      <c r="Y596" s="2"/>
      <c r="Z596" s="126"/>
    </row>
    <row r="597" spans="3:26" s="1" customFormat="1" ht="12.75" customHeight="1">
      <c r="C597" s="4"/>
      <c r="F597" s="4"/>
      <c r="G597" s="4"/>
      <c r="I597" s="6"/>
      <c r="J597" s="387"/>
      <c r="K597" s="387"/>
      <c r="L597" s="387"/>
      <c r="M597" s="387"/>
      <c r="N597" s="387"/>
      <c r="O597" s="7"/>
      <c r="P597" s="137"/>
      <c r="Q597" s="137"/>
      <c r="R597" s="137"/>
      <c r="S597" s="127"/>
      <c r="T597" s="169"/>
      <c r="U597" s="169"/>
      <c r="V597" s="137"/>
      <c r="W597" s="3"/>
      <c r="X597" s="3"/>
      <c r="Y597" s="2"/>
      <c r="Z597" s="126"/>
    </row>
    <row r="598" spans="3:26" s="1" customFormat="1" ht="12.75" customHeight="1">
      <c r="C598" s="4"/>
      <c r="F598" s="4"/>
      <c r="G598" s="4"/>
      <c r="I598" s="6"/>
      <c r="J598" s="387"/>
      <c r="K598" s="387"/>
      <c r="L598" s="387"/>
      <c r="M598" s="387"/>
      <c r="N598" s="387"/>
      <c r="O598" s="7"/>
      <c r="P598" s="137"/>
      <c r="Q598" s="137"/>
      <c r="R598" s="137"/>
      <c r="S598" s="127"/>
      <c r="T598" s="169"/>
      <c r="U598" s="169"/>
      <c r="V598" s="137"/>
      <c r="W598" s="3"/>
      <c r="X598" s="3"/>
      <c r="Y598" s="2"/>
      <c r="Z598" s="126"/>
    </row>
    <row r="599" spans="3:26" s="1" customFormat="1" ht="12.75" customHeight="1">
      <c r="C599" s="4"/>
      <c r="F599" s="4"/>
      <c r="G599" s="4"/>
      <c r="I599" s="6"/>
      <c r="J599" s="387"/>
      <c r="K599" s="387"/>
      <c r="L599" s="387"/>
      <c r="M599" s="387"/>
      <c r="N599" s="387"/>
      <c r="O599" s="7"/>
      <c r="P599" s="137"/>
      <c r="Q599" s="137"/>
      <c r="R599" s="137"/>
      <c r="S599" s="127"/>
      <c r="T599" s="169"/>
      <c r="U599" s="169"/>
      <c r="V599" s="137"/>
      <c r="W599" s="3"/>
      <c r="X599" s="3"/>
      <c r="Y599" s="2"/>
      <c r="Z599" s="126"/>
    </row>
    <row r="600" spans="3:26" s="1" customFormat="1" ht="12.75" customHeight="1">
      <c r="C600" s="4"/>
      <c r="F600" s="4"/>
      <c r="G600" s="4"/>
      <c r="I600" s="6"/>
      <c r="J600" s="387"/>
      <c r="K600" s="387"/>
      <c r="L600" s="387"/>
      <c r="M600" s="387"/>
      <c r="N600" s="387"/>
      <c r="O600" s="7"/>
      <c r="P600" s="137"/>
      <c r="Q600" s="137"/>
      <c r="R600" s="137"/>
      <c r="S600" s="127"/>
      <c r="T600" s="169"/>
      <c r="U600" s="169"/>
      <c r="V600" s="137"/>
      <c r="W600" s="3"/>
      <c r="X600" s="3"/>
      <c r="Y600" s="2"/>
      <c r="Z600" s="126"/>
    </row>
    <row r="601" spans="3:26" s="1" customFormat="1" ht="12.75" customHeight="1">
      <c r="C601" s="4"/>
      <c r="F601" s="4"/>
      <c r="G601" s="4"/>
      <c r="I601" s="6"/>
      <c r="J601" s="387"/>
      <c r="K601" s="387"/>
      <c r="L601" s="387"/>
      <c r="M601" s="387"/>
      <c r="N601" s="387"/>
      <c r="O601" s="7"/>
      <c r="P601" s="137"/>
      <c r="Q601" s="137"/>
      <c r="R601" s="137"/>
      <c r="S601" s="127"/>
      <c r="T601" s="169"/>
      <c r="U601" s="169"/>
      <c r="V601" s="137"/>
      <c r="W601" s="3"/>
      <c r="X601" s="3"/>
      <c r="Y601" s="2"/>
      <c r="Z601" s="126"/>
    </row>
    <row r="602" spans="3:26" s="1" customFormat="1" ht="12.75" customHeight="1">
      <c r="C602" s="4"/>
      <c r="F602" s="4"/>
      <c r="G602" s="4"/>
      <c r="I602" s="6"/>
      <c r="J602" s="387"/>
      <c r="K602" s="387"/>
      <c r="L602" s="387"/>
      <c r="M602" s="387"/>
      <c r="N602" s="387"/>
      <c r="O602" s="7"/>
      <c r="P602" s="137"/>
      <c r="Q602" s="137"/>
      <c r="R602" s="137"/>
      <c r="S602" s="127"/>
      <c r="T602" s="169"/>
      <c r="U602" s="169"/>
      <c r="V602" s="137"/>
      <c r="W602" s="3"/>
      <c r="X602" s="3"/>
      <c r="Y602" s="2"/>
      <c r="Z602" s="126"/>
    </row>
    <row r="603" spans="3:26" s="1" customFormat="1" ht="12.75" customHeight="1">
      <c r="C603" s="4"/>
      <c r="F603" s="4"/>
      <c r="G603" s="4"/>
      <c r="I603" s="6"/>
      <c r="J603" s="387"/>
      <c r="K603" s="387"/>
      <c r="L603" s="387"/>
      <c r="M603" s="387"/>
      <c r="N603" s="387"/>
      <c r="O603" s="7"/>
      <c r="P603" s="137"/>
      <c r="Q603" s="137"/>
      <c r="R603" s="137"/>
      <c r="S603" s="127"/>
      <c r="T603" s="169"/>
      <c r="U603" s="169"/>
      <c r="V603" s="137"/>
      <c r="W603" s="3"/>
      <c r="X603" s="3"/>
      <c r="Y603" s="2"/>
      <c r="Z603" s="126"/>
    </row>
    <row r="604" spans="3:26" s="1" customFormat="1" ht="12.75" customHeight="1">
      <c r="C604" s="4"/>
      <c r="F604" s="4"/>
      <c r="G604" s="4"/>
      <c r="I604" s="6"/>
      <c r="J604" s="387"/>
      <c r="K604" s="387"/>
      <c r="L604" s="387"/>
      <c r="M604" s="387"/>
      <c r="N604" s="387"/>
      <c r="O604" s="7"/>
      <c r="P604" s="137"/>
      <c r="Q604" s="137"/>
      <c r="R604" s="137"/>
      <c r="S604" s="127"/>
      <c r="T604" s="169"/>
      <c r="U604" s="169"/>
      <c r="V604" s="137"/>
      <c r="W604" s="3"/>
      <c r="X604" s="3"/>
      <c r="Y604" s="2"/>
      <c r="Z604" s="126"/>
    </row>
    <row r="605" spans="3:26" s="1" customFormat="1" ht="12.75" customHeight="1">
      <c r="C605" s="4"/>
      <c r="F605" s="4"/>
      <c r="G605" s="4"/>
      <c r="I605" s="6"/>
      <c r="J605" s="387"/>
      <c r="K605" s="387"/>
      <c r="L605" s="387"/>
      <c r="M605" s="387"/>
      <c r="N605" s="387"/>
      <c r="O605" s="7"/>
      <c r="P605" s="137"/>
      <c r="Q605" s="137"/>
      <c r="R605" s="137"/>
      <c r="S605" s="127"/>
      <c r="T605" s="169"/>
      <c r="U605" s="169"/>
      <c r="V605" s="137"/>
      <c r="W605" s="3"/>
      <c r="X605" s="3"/>
      <c r="Y605" s="2"/>
      <c r="Z605" s="126"/>
    </row>
    <row r="606" spans="3:26" s="1" customFormat="1" ht="12.75" customHeight="1">
      <c r="C606" s="4"/>
      <c r="F606" s="4"/>
      <c r="G606" s="4"/>
      <c r="I606" s="6"/>
      <c r="J606" s="387"/>
      <c r="K606" s="387"/>
      <c r="L606" s="387"/>
      <c r="M606" s="387"/>
      <c r="N606" s="387"/>
      <c r="O606" s="7"/>
      <c r="P606" s="137"/>
      <c r="Q606" s="137"/>
      <c r="R606" s="137"/>
      <c r="S606" s="127"/>
      <c r="T606" s="169"/>
      <c r="U606" s="169"/>
      <c r="V606" s="137"/>
      <c r="W606" s="3"/>
      <c r="X606" s="3"/>
      <c r="Y606" s="2"/>
      <c r="Z606" s="126"/>
    </row>
    <row r="607" spans="3:26" s="1" customFormat="1" ht="12.75" customHeight="1">
      <c r="C607" s="4"/>
      <c r="F607" s="4"/>
      <c r="G607" s="4"/>
      <c r="I607" s="6"/>
      <c r="J607" s="387"/>
      <c r="K607" s="387"/>
      <c r="L607" s="387"/>
      <c r="M607" s="387"/>
      <c r="N607" s="387"/>
      <c r="O607" s="7"/>
      <c r="P607" s="137"/>
      <c r="Q607" s="137"/>
      <c r="R607" s="137"/>
      <c r="S607" s="127"/>
      <c r="T607" s="169"/>
      <c r="U607" s="169"/>
      <c r="V607" s="137"/>
      <c r="W607" s="3"/>
      <c r="X607" s="3"/>
      <c r="Y607" s="2"/>
      <c r="Z607" s="126"/>
    </row>
    <row r="608" spans="3:26" s="1" customFormat="1" ht="12.75" customHeight="1">
      <c r="C608" s="4"/>
      <c r="F608" s="4"/>
      <c r="G608" s="4"/>
      <c r="I608" s="6"/>
      <c r="J608" s="387"/>
      <c r="K608" s="387"/>
      <c r="L608" s="387"/>
      <c r="M608" s="387"/>
      <c r="N608" s="387"/>
      <c r="O608" s="7"/>
      <c r="P608" s="137"/>
      <c r="Q608" s="137"/>
      <c r="R608" s="137"/>
      <c r="S608" s="127"/>
      <c r="T608" s="169"/>
      <c r="U608" s="169"/>
      <c r="V608" s="137"/>
      <c r="W608" s="3"/>
      <c r="X608" s="3"/>
      <c r="Y608" s="2"/>
      <c r="Z608" s="126"/>
    </row>
    <row r="609" spans="3:26" s="1" customFormat="1" ht="12.75" customHeight="1">
      <c r="C609" s="4"/>
      <c r="F609" s="4"/>
      <c r="G609" s="4"/>
      <c r="I609" s="6"/>
      <c r="J609" s="387"/>
      <c r="K609" s="387"/>
      <c r="L609" s="387"/>
      <c r="M609" s="387"/>
      <c r="N609" s="387"/>
      <c r="O609" s="7"/>
      <c r="P609" s="137"/>
      <c r="Q609" s="137"/>
      <c r="R609" s="137"/>
      <c r="S609" s="127"/>
      <c r="T609" s="169"/>
      <c r="U609" s="169"/>
      <c r="V609" s="137"/>
      <c r="W609" s="3"/>
      <c r="X609" s="3"/>
      <c r="Y609" s="2"/>
      <c r="Z609" s="126"/>
    </row>
    <row r="610" spans="3:26" s="1" customFormat="1" ht="12.75" customHeight="1">
      <c r="C610" s="4"/>
      <c r="F610" s="4"/>
      <c r="G610" s="4"/>
      <c r="I610" s="6"/>
      <c r="J610" s="387"/>
      <c r="K610" s="387"/>
      <c r="L610" s="387"/>
      <c r="M610" s="387"/>
      <c r="N610" s="387"/>
      <c r="O610" s="7"/>
      <c r="P610" s="137"/>
      <c r="Q610" s="137"/>
      <c r="R610" s="137"/>
      <c r="S610" s="127"/>
      <c r="T610" s="169"/>
      <c r="U610" s="169"/>
      <c r="V610" s="137"/>
      <c r="W610" s="3"/>
      <c r="X610" s="3"/>
      <c r="Y610" s="2"/>
      <c r="Z610" s="126"/>
    </row>
    <row r="611" spans="3:26" s="1" customFormat="1" ht="12.75" customHeight="1">
      <c r="C611" s="4"/>
      <c r="F611" s="4"/>
      <c r="G611" s="4"/>
      <c r="I611" s="6"/>
      <c r="J611" s="387"/>
      <c r="K611" s="387"/>
      <c r="L611" s="387"/>
      <c r="M611" s="387"/>
      <c r="N611" s="387"/>
      <c r="O611" s="7"/>
      <c r="P611" s="137"/>
      <c r="Q611" s="137"/>
      <c r="R611" s="137"/>
      <c r="S611" s="127"/>
      <c r="T611" s="169"/>
      <c r="U611" s="169"/>
      <c r="V611" s="137"/>
      <c r="W611" s="3"/>
      <c r="X611" s="3"/>
      <c r="Y611" s="2"/>
      <c r="Z611" s="126"/>
    </row>
    <row r="612" spans="3:26" s="1" customFormat="1" ht="12.75" customHeight="1">
      <c r="C612" s="4"/>
      <c r="F612" s="4"/>
      <c r="G612" s="4"/>
      <c r="I612" s="6"/>
      <c r="J612" s="387"/>
      <c r="K612" s="387"/>
      <c r="L612" s="387"/>
      <c r="M612" s="387"/>
      <c r="N612" s="387"/>
      <c r="O612" s="7"/>
      <c r="P612" s="137"/>
      <c r="Q612" s="137"/>
      <c r="R612" s="137"/>
      <c r="S612" s="127"/>
      <c r="T612" s="169"/>
      <c r="U612" s="169"/>
      <c r="V612" s="137"/>
      <c r="W612" s="3"/>
      <c r="X612" s="3"/>
      <c r="Y612" s="2"/>
      <c r="Z612" s="126"/>
    </row>
    <row r="613" spans="3:26" s="1" customFormat="1" ht="12.75" customHeight="1">
      <c r="C613" s="4"/>
      <c r="F613" s="4"/>
      <c r="G613" s="4"/>
      <c r="I613" s="6"/>
      <c r="J613" s="387"/>
      <c r="K613" s="387"/>
      <c r="L613" s="387"/>
      <c r="M613" s="387"/>
      <c r="N613" s="387"/>
      <c r="O613" s="7"/>
      <c r="P613" s="137"/>
      <c r="Q613" s="137"/>
      <c r="R613" s="137"/>
      <c r="S613" s="127"/>
      <c r="T613" s="169"/>
      <c r="U613" s="169"/>
      <c r="V613" s="137"/>
      <c r="W613" s="3"/>
      <c r="X613" s="3"/>
      <c r="Y613" s="2"/>
      <c r="Z613" s="126"/>
    </row>
    <row r="614" spans="3:26" s="1" customFormat="1" ht="12.75" customHeight="1">
      <c r="C614" s="4"/>
      <c r="F614" s="4"/>
      <c r="G614" s="4"/>
      <c r="I614" s="6"/>
      <c r="J614" s="387"/>
      <c r="K614" s="387"/>
      <c r="L614" s="387"/>
      <c r="M614" s="387"/>
      <c r="N614" s="387"/>
      <c r="O614" s="7"/>
      <c r="P614" s="137"/>
      <c r="Q614" s="137"/>
      <c r="R614" s="137"/>
      <c r="S614" s="127"/>
      <c r="T614" s="169"/>
      <c r="U614" s="169"/>
      <c r="V614" s="137"/>
      <c r="W614" s="3"/>
      <c r="X614" s="3"/>
      <c r="Y614" s="2"/>
      <c r="Z614" s="126"/>
    </row>
    <row r="615" spans="3:26" s="1" customFormat="1" ht="12.75" customHeight="1">
      <c r="C615" s="4"/>
      <c r="F615" s="4"/>
      <c r="G615" s="4"/>
      <c r="I615" s="6"/>
      <c r="J615" s="387"/>
      <c r="K615" s="387"/>
      <c r="L615" s="387"/>
      <c r="M615" s="387"/>
      <c r="N615" s="387"/>
      <c r="O615" s="7"/>
      <c r="P615" s="137"/>
      <c r="Q615" s="137"/>
      <c r="R615" s="137"/>
      <c r="S615" s="127"/>
      <c r="T615" s="169"/>
      <c r="U615" s="169"/>
      <c r="V615" s="137"/>
      <c r="W615" s="3"/>
      <c r="X615" s="3"/>
      <c r="Y615" s="2"/>
      <c r="Z615" s="126"/>
    </row>
    <row r="616" spans="3:26" s="1" customFormat="1" ht="12.75" customHeight="1">
      <c r="C616" s="4"/>
      <c r="F616" s="4"/>
      <c r="G616" s="4"/>
      <c r="I616" s="6"/>
      <c r="J616" s="387"/>
      <c r="K616" s="387"/>
      <c r="L616" s="387"/>
      <c r="M616" s="387"/>
      <c r="N616" s="387"/>
      <c r="O616" s="7"/>
      <c r="P616" s="137"/>
      <c r="Q616" s="137"/>
      <c r="R616" s="137"/>
      <c r="S616" s="127"/>
      <c r="T616" s="169"/>
      <c r="U616" s="169"/>
      <c r="V616" s="137"/>
      <c r="W616" s="3"/>
      <c r="X616" s="3"/>
      <c r="Y616" s="2"/>
      <c r="Z616" s="126"/>
    </row>
    <row r="617" spans="3:26" s="1" customFormat="1" ht="12.75" customHeight="1">
      <c r="C617" s="4"/>
      <c r="F617" s="4"/>
      <c r="G617" s="4"/>
      <c r="I617" s="6"/>
      <c r="J617" s="387"/>
      <c r="K617" s="387"/>
      <c r="L617" s="387"/>
      <c r="M617" s="387"/>
      <c r="N617" s="387"/>
      <c r="O617" s="7"/>
      <c r="P617" s="137"/>
      <c r="Q617" s="137"/>
      <c r="R617" s="137"/>
      <c r="S617" s="127"/>
      <c r="T617" s="169"/>
      <c r="U617" s="169"/>
      <c r="V617" s="137"/>
      <c r="W617" s="3"/>
      <c r="X617" s="3"/>
      <c r="Y617" s="2"/>
      <c r="Z617" s="126"/>
    </row>
    <row r="618" spans="3:26" s="1" customFormat="1" ht="12.75" customHeight="1">
      <c r="C618" s="4"/>
      <c r="F618" s="4"/>
      <c r="G618" s="4"/>
      <c r="I618" s="6"/>
      <c r="J618" s="387"/>
      <c r="K618" s="387"/>
      <c r="L618" s="387"/>
      <c r="M618" s="387"/>
      <c r="N618" s="387"/>
      <c r="O618" s="7"/>
      <c r="P618" s="137"/>
      <c r="Q618" s="137"/>
      <c r="R618" s="137"/>
      <c r="S618" s="127"/>
      <c r="T618" s="169"/>
      <c r="U618" s="169"/>
      <c r="V618" s="137"/>
      <c r="W618" s="3"/>
      <c r="X618" s="3"/>
      <c r="Y618" s="2"/>
      <c r="Z618" s="126"/>
    </row>
    <row r="619" spans="3:26" s="1" customFormat="1" ht="12.75" customHeight="1">
      <c r="C619" s="4"/>
      <c r="F619" s="4"/>
      <c r="G619" s="4"/>
      <c r="I619" s="6"/>
      <c r="J619" s="387"/>
      <c r="K619" s="387"/>
      <c r="L619" s="387"/>
      <c r="M619" s="387"/>
      <c r="N619" s="387"/>
      <c r="O619" s="7"/>
      <c r="P619" s="137"/>
      <c r="Q619" s="137"/>
      <c r="R619" s="137"/>
      <c r="S619" s="127"/>
      <c r="T619" s="169"/>
      <c r="U619" s="169"/>
      <c r="V619" s="137"/>
      <c r="W619" s="3"/>
      <c r="X619" s="3"/>
      <c r="Y619" s="2"/>
      <c r="Z619" s="126"/>
    </row>
    <row r="620" spans="3:26" s="1" customFormat="1" ht="12.75" customHeight="1">
      <c r="C620" s="4"/>
      <c r="F620" s="4"/>
      <c r="G620" s="4"/>
      <c r="I620" s="6"/>
      <c r="J620" s="387"/>
      <c r="K620" s="387"/>
      <c r="L620" s="387"/>
      <c r="M620" s="387"/>
      <c r="N620" s="387"/>
      <c r="O620" s="7"/>
      <c r="P620" s="137"/>
      <c r="Q620" s="137"/>
      <c r="R620" s="137"/>
      <c r="S620" s="127"/>
      <c r="T620" s="169"/>
      <c r="U620" s="169"/>
      <c r="V620" s="137"/>
      <c r="W620" s="3"/>
      <c r="X620" s="3"/>
      <c r="Y620" s="2"/>
      <c r="Z620" s="126"/>
    </row>
    <row r="621" spans="3:26" s="1" customFormat="1" ht="12.75" customHeight="1">
      <c r="C621" s="4"/>
      <c r="F621" s="4"/>
      <c r="G621" s="4"/>
      <c r="I621" s="6"/>
      <c r="J621" s="387"/>
      <c r="K621" s="387"/>
      <c r="L621" s="387"/>
      <c r="M621" s="387"/>
      <c r="N621" s="387"/>
      <c r="O621" s="7"/>
      <c r="P621" s="137"/>
      <c r="Q621" s="137"/>
      <c r="R621" s="137"/>
      <c r="S621" s="127"/>
      <c r="T621" s="169"/>
      <c r="U621" s="169"/>
      <c r="V621" s="137"/>
      <c r="W621" s="3"/>
      <c r="X621" s="3"/>
      <c r="Y621" s="2"/>
      <c r="Z621" s="126"/>
    </row>
    <row r="622" spans="3:26" s="1" customFormat="1" ht="12.75" customHeight="1">
      <c r="C622" s="4"/>
      <c r="F622" s="4"/>
      <c r="G622" s="4"/>
      <c r="I622" s="6"/>
      <c r="J622" s="387"/>
      <c r="K622" s="387"/>
      <c r="L622" s="387"/>
      <c r="M622" s="387"/>
      <c r="N622" s="387"/>
      <c r="O622" s="7"/>
      <c r="P622" s="137"/>
      <c r="Q622" s="137"/>
      <c r="R622" s="137"/>
      <c r="S622" s="127"/>
      <c r="T622" s="169"/>
      <c r="U622" s="169"/>
      <c r="V622" s="137"/>
      <c r="W622" s="3"/>
      <c r="X622" s="3"/>
      <c r="Y622" s="2"/>
      <c r="Z622" s="126"/>
    </row>
    <row r="623" spans="3:26" s="1" customFormat="1" ht="12.75" customHeight="1">
      <c r="C623" s="4"/>
      <c r="F623" s="4"/>
      <c r="G623" s="4"/>
      <c r="I623" s="6"/>
      <c r="J623" s="387"/>
      <c r="K623" s="387"/>
      <c r="L623" s="387"/>
      <c r="M623" s="387"/>
      <c r="N623" s="387"/>
      <c r="O623" s="7"/>
      <c r="P623" s="137"/>
      <c r="Q623" s="137"/>
      <c r="R623" s="137"/>
      <c r="S623" s="127"/>
      <c r="T623" s="169"/>
      <c r="U623" s="169"/>
      <c r="V623" s="137"/>
      <c r="W623" s="3"/>
      <c r="X623" s="3"/>
      <c r="Y623" s="2"/>
      <c r="Z623" s="126"/>
    </row>
    <row r="624" spans="3:26" s="1" customFormat="1" ht="12.75" customHeight="1">
      <c r="C624" s="4"/>
      <c r="F624" s="4"/>
      <c r="G624" s="4"/>
      <c r="I624" s="6"/>
      <c r="J624" s="387"/>
      <c r="K624" s="387"/>
      <c r="L624" s="387"/>
      <c r="M624" s="387"/>
      <c r="N624" s="387"/>
      <c r="O624" s="7"/>
      <c r="P624" s="137"/>
      <c r="Q624" s="137"/>
      <c r="R624" s="137"/>
      <c r="S624" s="127"/>
      <c r="T624" s="169"/>
      <c r="U624" s="169"/>
      <c r="V624" s="137"/>
      <c r="W624" s="3"/>
      <c r="X624" s="3"/>
      <c r="Y624" s="2"/>
      <c r="Z624" s="126"/>
    </row>
    <row r="625" spans="3:26" s="1" customFormat="1" ht="12.75" customHeight="1">
      <c r="C625" s="4"/>
      <c r="F625" s="4"/>
      <c r="G625" s="4"/>
      <c r="I625" s="6"/>
      <c r="J625" s="387"/>
      <c r="K625" s="387"/>
      <c r="L625" s="387"/>
      <c r="M625" s="387"/>
      <c r="N625" s="387"/>
      <c r="O625" s="7"/>
      <c r="P625" s="137"/>
      <c r="Q625" s="137"/>
      <c r="R625" s="137"/>
      <c r="S625" s="127"/>
      <c r="T625" s="169"/>
      <c r="U625" s="169"/>
      <c r="V625" s="137"/>
      <c r="W625" s="3"/>
      <c r="X625" s="3"/>
      <c r="Y625" s="2"/>
      <c r="Z625" s="126"/>
    </row>
    <row r="626" spans="3:26" s="1" customFormat="1" ht="12.75" customHeight="1">
      <c r="C626" s="4"/>
      <c r="F626" s="4"/>
      <c r="G626" s="4"/>
      <c r="I626" s="6"/>
      <c r="J626" s="387"/>
      <c r="K626" s="387"/>
      <c r="L626" s="387"/>
      <c r="M626" s="387"/>
      <c r="N626" s="387"/>
      <c r="O626" s="7"/>
      <c r="P626" s="137"/>
      <c r="Q626" s="137"/>
      <c r="R626" s="137"/>
      <c r="S626" s="127"/>
      <c r="T626" s="169"/>
      <c r="U626" s="169"/>
      <c r="V626" s="137"/>
      <c r="W626" s="3"/>
      <c r="X626" s="3"/>
      <c r="Y626" s="2"/>
      <c r="Z626" s="126"/>
    </row>
    <row r="627" spans="3:26" s="1" customFormat="1" ht="12.75" customHeight="1">
      <c r="C627" s="4"/>
      <c r="F627" s="4"/>
      <c r="G627" s="4"/>
      <c r="I627" s="6"/>
      <c r="J627" s="387"/>
      <c r="K627" s="387"/>
      <c r="L627" s="387"/>
      <c r="M627" s="387"/>
      <c r="N627" s="387"/>
      <c r="O627" s="7"/>
      <c r="P627" s="137"/>
      <c r="Q627" s="137"/>
      <c r="R627" s="137"/>
      <c r="S627" s="127"/>
      <c r="T627" s="169"/>
      <c r="U627" s="169"/>
      <c r="V627" s="137"/>
      <c r="W627" s="3"/>
      <c r="X627" s="3"/>
      <c r="Y627" s="2"/>
      <c r="Z627" s="126"/>
    </row>
    <row r="628" spans="3:26" s="1" customFormat="1" ht="12.75" customHeight="1">
      <c r="C628" s="4"/>
      <c r="F628" s="4"/>
      <c r="G628" s="4"/>
      <c r="I628" s="6"/>
      <c r="J628" s="387"/>
      <c r="K628" s="387"/>
      <c r="L628" s="387"/>
      <c r="M628" s="387"/>
      <c r="N628" s="387"/>
      <c r="O628" s="7"/>
      <c r="P628" s="137"/>
      <c r="Q628" s="137"/>
      <c r="R628" s="137"/>
      <c r="S628" s="127"/>
      <c r="T628" s="169"/>
      <c r="U628" s="169"/>
      <c r="V628" s="137"/>
      <c r="W628" s="3"/>
      <c r="X628" s="3"/>
      <c r="Y628" s="2"/>
      <c r="Z628" s="126"/>
    </row>
    <row r="629" spans="3:26" s="1" customFormat="1" ht="12.75" customHeight="1">
      <c r="C629" s="4"/>
      <c r="F629" s="4"/>
      <c r="G629" s="4"/>
      <c r="I629" s="6"/>
      <c r="J629" s="387"/>
      <c r="K629" s="387"/>
      <c r="L629" s="387"/>
      <c r="M629" s="387"/>
      <c r="N629" s="387"/>
      <c r="O629" s="7"/>
      <c r="P629" s="137"/>
      <c r="Q629" s="137"/>
      <c r="R629" s="137"/>
      <c r="S629" s="127"/>
      <c r="T629" s="169"/>
      <c r="U629" s="169"/>
      <c r="V629" s="137"/>
      <c r="W629" s="3"/>
      <c r="X629" s="3"/>
      <c r="Y629" s="2"/>
      <c r="Z629" s="126"/>
    </row>
    <row r="630" spans="3:26" s="1" customFormat="1" ht="12.75" customHeight="1">
      <c r="C630" s="4"/>
      <c r="F630" s="4"/>
      <c r="G630" s="4"/>
      <c r="I630" s="6"/>
      <c r="J630" s="387"/>
      <c r="K630" s="387"/>
      <c r="L630" s="387"/>
      <c r="M630" s="387"/>
      <c r="N630" s="387"/>
      <c r="O630" s="7"/>
      <c r="P630" s="137"/>
      <c r="Q630" s="137"/>
      <c r="R630" s="137"/>
      <c r="S630" s="127"/>
      <c r="T630" s="169"/>
      <c r="U630" s="169"/>
      <c r="V630" s="137"/>
      <c r="W630" s="3"/>
      <c r="X630" s="3"/>
      <c r="Y630" s="2"/>
      <c r="Z630" s="126"/>
    </row>
    <row r="631" spans="3:26" s="1" customFormat="1" ht="12.75" customHeight="1">
      <c r="C631" s="4"/>
      <c r="F631" s="4"/>
      <c r="G631" s="4"/>
      <c r="I631" s="6"/>
      <c r="J631" s="387"/>
      <c r="K631" s="387"/>
      <c r="L631" s="387"/>
      <c r="M631" s="387"/>
      <c r="N631" s="387"/>
      <c r="O631" s="7"/>
      <c r="P631" s="137"/>
      <c r="Q631" s="137"/>
      <c r="R631" s="137"/>
      <c r="S631" s="127"/>
      <c r="T631" s="169"/>
      <c r="U631" s="169"/>
      <c r="V631" s="137"/>
      <c r="W631" s="3"/>
      <c r="X631" s="3"/>
      <c r="Y631" s="2"/>
      <c r="Z631" s="126"/>
    </row>
    <row r="632" spans="3:26" s="1" customFormat="1" ht="12.75" customHeight="1">
      <c r="C632" s="4"/>
      <c r="F632" s="4"/>
      <c r="G632" s="4"/>
      <c r="I632" s="6"/>
      <c r="J632" s="387"/>
      <c r="K632" s="387"/>
      <c r="L632" s="387"/>
      <c r="M632" s="387"/>
      <c r="N632" s="387"/>
      <c r="O632" s="7"/>
      <c r="P632" s="137"/>
      <c r="Q632" s="137"/>
      <c r="R632" s="137"/>
      <c r="S632" s="127"/>
      <c r="T632" s="169"/>
      <c r="U632" s="169"/>
      <c r="V632" s="137"/>
      <c r="W632" s="3"/>
      <c r="X632" s="3"/>
      <c r="Y632" s="2"/>
      <c r="Z632" s="126"/>
    </row>
    <row r="633" spans="3:26" s="1" customFormat="1" ht="12.75" customHeight="1">
      <c r="C633" s="4"/>
      <c r="F633" s="4"/>
      <c r="G633" s="4"/>
      <c r="I633" s="6"/>
      <c r="J633" s="387"/>
      <c r="K633" s="387"/>
      <c r="L633" s="387"/>
      <c r="M633" s="387"/>
      <c r="N633" s="387"/>
      <c r="O633" s="7"/>
      <c r="P633" s="137"/>
      <c r="Q633" s="137"/>
      <c r="R633" s="137"/>
      <c r="S633" s="127"/>
      <c r="T633" s="169"/>
      <c r="U633" s="169"/>
      <c r="V633" s="137"/>
      <c r="W633" s="3"/>
      <c r="X633" s="3"/>
      <c r="Y633" s="2"/>
      <c r="Z633" s="126"/>
    </row>
    <row r="634" spans="3:26" s="1" customFormat="1" ht="12.75" customHeight="1">
      <c r="C634" s="4"/>
      <c r="F634" s="4"/>
      <c r="G634" s="4"/>
      <c r="I634" s="6"/>
      <c r="J634" s="387"/>
      <c r="K634" s="387"/>
      <c r="L634" s="387"/>
      <c r="M634" s="387"/>
      <c r="N634" s="387"/>
      <c r="O634" s="7"/>
      <c r="P634" s="137"/>
      <c r="Q634" s="137"/>
      <c r="R634" s="137"/>
      <c r="S634" s="127"/>
      <c r="T634" s="169"/>
      <c r="U634" s="169"/>
      <c r="V634" s="137"/>
      <c r="W634" s="3"/>
      <c r="X634" s="3"/>
      <c r="Y634" s="2"/>
      <c r="Z634" s="126"/>
    </row>
    <row r="635" spans="3:26" s="1" customFormat="1" ht="12.75" customHeight="1">
      <c r="C635" s="4"/>
      <c r="F635" s="4"/>
      <c r="G635" s="4"/>
      <c r="I635" s="6"/>
      <c r="J635" s="387"/>
      <c r="K635" s="387"/>
      <c r="L635" s="387"/>
      <c r="M635" s="387"/>
      <c r="N635" s="387"/>
      <c r="O635" s="7"/>
      <c r="P635" s="137"/>
      <c r="Q635" s="137"/>
      <c r="R635" s="137"/>
      <c r="S635" s="127"/>
      <c r="T635" s="169"/>
      <c r="U635" s="169"/>
      <c r="V635" s="137"/>
      <c r="W635" s="3"/>
      <c r="X635" s="3"/>
      <c r="Y635" s="2"/>
      <c r="Z635" s="126"/>
    </row>
    <row r="636" spans="3:26" s="1" customFormat="1" ht="12.75" customHeight="1">
      <c r="C636" s="4"/>
      <c r="F636" s="4"/>
      <c r="G636" s="4"/>
      <c r="I636" s="6"/>
      <c r="J636" s="387"/>
      <c r="K636" s="387"/>
      <c r="L636" s="387"/>
      <c r="M636" s="387"/>
      <c r="N636" s="387"/>
      <c r="O636" s="7"/>
      <c r="P636" s="137"/>
      <c r="Q636" s="137"/>
      <c r="R636" s="137"/>
      <c r="S636" s="127"/>
      <c r="T636" s="169"/>
      <c r="U636" s="169"/>
      <c r="V636" s="137"/>
      <c r="W636" s="3"/>
      <c r="X636" s="3"/>
      <c r="Y636" s="2"/>
      <c r="Z636" s="126"/>
    </row>
    <row r="637" spans="3:26" s="1" customFormat="1" ht="12.75" customHeight="1">
      <c r="C637" s="4"/>
      <c r="F637" s="4"/>
      <c r="G637" s="4"/>
      <c r="I637" s="6"/>
      <c r="J637" s="387"/>
      <c r="K637" s="387"/>
      <c r="L637" s="387"/>
      <c r="M637" s="387"/>
      <c r="N637" s="387"/>
      <c r="O637" s="7"/>
      <c r="P637" s="137"/>
      <c r="Q637" s="137"/>
      <c r="R637" s="137"/>
      <c r="S637" s="127"/>
      <c r="T637" s="169"/>
      <c r="U637" s="169"/>
      <c r="V637" s="137"/>
      <c r="W637" s="3"/>
      <c r="X637" s="3"/>
      <c r="Y637" s="2"/>
      <c r="Z637" s="126"/>
    </row>
    <row r="638" spans="3:26" s="1" customFormat="1" ht="12.75" customHeight="1">
      <c r="C638" s="4"/>
      <c r="F638" s="4"/>
      <c r="G638" s="4"/>
      <c r="I638" s="6"/>
      <c r="J638" s="387"/>
      <c r="K638" s="387"/>
      <c r="L638" s="387"/>
      <c r="M638" s="387"/>
      <c r="N638" s="387"/>
      <c r="O638" s="7"/>
      <c r="P638" s="137"/>
      <c r="Q638" s="137"/>
      <c r="R638" s="137"/>
      <c r="S638" s="127"/>
      <c r="T638" s="169"/>
      <c r="U638" s="169"/>
      <c r="V638" s="137"/>
      <c r="W638" s="3"/>
      <c r="X638" s="3"/>
      <c r="Y638" s="2"/>
      <c r="Z638" s="126"/>
    </row>
    <row r="639" spans="3:26" s="1" customFormat="1" ht="12.75" customHeight="1">
      <c r="C639" s="4"/>
      <c r="F639" s="4"/>
      <c r="G639" s="4"/>
      <c r="I639" s="6"/>
      <c r="J639" s="387"/>
      <c r="K639" s="387"/>
      <c r="L639" s="387"/>
      <c r="M639" s="387"/>
      <c r="N639" s="387"/>
      <c r="O639" s="7"/>
      <c r="P639" s="137"/>
      <c r="Q639" s="137"/>
      <c r="R639" s="137"/>
      <c r="S639" s="127"/>
      <c r="T639" s="169"/>
      <c r="U639" s="169"/>
      <c r="V639" s="137"/>
      <c r="W639" s="3"/>
      <c r="X639" s="3"/>
      <c r="Y639" s="2"/>
      <c r="Z639" s="126"/>
    </row>
    <row r="640" spans="3:26" s="1" customFormat="1" ht="12.75" customHeight="1">
      <c r="C640" s="4"/>
      <c r="F640" s="4"/>
      <c r="G640" s="4"/>
      <c r="I640" s="6"/>
      <c r="J640" s="387"/>
      <c r="K640" s="387"/>
      <c r="L640" s="387"/>
      <c r="M640" s="387"/>
      <c r="N640" s="387"/>
      <c r="O640" s="7"/>
      <c r="P640" s="137"/>
      <c r="Q640" s="137"/>
      <c r="R640" s="137"/>
      <c r="S640" s="127"/>
      <c r="T640" s="169"/>
      <c r="U640" s="169"/>
      <c r="V640" s="137"/>
      <c r="W640" s="3"/>
      <c r="X640" s="3"/>
      <c r="Y640" s="2"/>
      <c r="Z640" s="126"/>
    </row>
    <row r="641" spans="3:26" s="1" customFormat="1" ht="12.75" customHeight="1">
      <c r="C641" s="4"/>
      <c r="F641" s="4"/>
      <c r="G641" s="4"/>
      <c r="I641" s="6"/>
      <c r="J641" s="387"/>
      <c r="K641" s="387"/>
      <c r="L641" s="387"/>
      <c r="M641" s="387"/>
      <c r="N641" s="387"/>
      <c r="O641" s="7"/>
      <c r="P641" s="137"/>
      <c r="Q641" s="137"/>
      <c r="R641" s="137"/>
      <c r="S641" s="127"/>
      <c r="T641" s="169"/>
      <c r="U641" s="169"/>
      <c r="V641" s="137"/>
      <c r="W641" s="3"/>
      <c r="X641" s="3"/>
      <c r="Y641" s="2"/>
      <c r="Z641" s="126"/>
    </row>
    <row r="642" spans="3:26" s="1" customFormat="1" ht="12.75" customHeight="1">
      <c r="C642" s="4"/>
      <c r="F642" s="4"/>
      <c r="G642" s="4"/>
      <c r="I642" s="6"/>
      <c r="J642" s="387"/>
      <c r="K642" s="387"/>
      <c r="L642" s="387"/>
      <c r="M642" s="387"/>
      <c r="N642" s="387"/>
      <c r="O642" s="7"/>
      <c r="P642" s="137"/>
      <c r="Q642" s="137"/>
      <c r="R642" s="137"/>
      <c r="S642" s="127"/>
      <c r="T642" s="169"/>
      <c r="U642" s="169"/>
      <c r="V642" s="137"/>
      <c r="W642" s="3"/>
      <c r="X642" s="3"/>
      <c r="Y642" s="2"/>
      <c r="Z642" s="126"/>
    </row>
    <row r="643" spans="3:26" s="1" customFormat="1" ht="12.75" customHeight="1">
      <c r="C643" s="4"/>
      <c r="F643" s="4"/>
      <c r="G643" s="4"/>
      <c r="I643" s="6"/>
      <c r="J643" s="387"/>
      <c r="K643" s="387"/>
      <c r="L643" s="387"/>
      <c r="M643" s="387"/>
      <c r="N643" s="387"/>
      <c r="O643" s="7"/>
      <c r="P643" s="137"/>
      <c r="Q643" s="137"/>
      <c r="R643" s="137"/>
      <c r="S643" s="127"/>
      <c r="T643" s="169"/>
      <c r="U643" s="169"/>
      <c r="V643" s="137"/>
      <c r="W643" s="3"/>
      <c r="X643" s="3"/>
      <c r="Y643" s="2"/>
      <c r="Z643" s="126"/>
    </row>
    <row r="644" spans="3:26" s="1" customFormat="1" ht="12.75" customHeight="1">
      <c r="C644" s="4"/>
      <c r="F644" s="4"/>
      <c r="G644" s="4"/>
      <c r="I644" s="6"/>
      <c r="J644" s="387"/>
      <c r="K644" s="387"/>
      <c r="L644" s="387"/>
      <c r="M644" s="387"/>
      <c r="N644" s="387"/>
      <c r="O644" s="7"/>
      <c r="P644" s="137"/>
      <c r="Q644" s="137"/>
      <c r="R644" s="137"/>
      <c r="S644" s="127"/>
      <c r="T644" s="169"/>
      <c r="U644" s="169"/>
      <c r="V644" s="137"/>
      <c r="W644" s="3"/>
      <c r="X644" s="3"/>
      <c r="Y644" s="2"/>
      <c r="Z644" s="126"/>
    </row>
    <row r="645" spans="3:26" s="1" customFormat="1" ht="12.75" customHeight="1">
      <c r="C645" s="4"/>
      <c r="F645" s="4"/>
      <c r="G645" s="4"/>
      <c r="I645" s="6"/>
      <c r="J645" s="387"/>
      <c r="K645" s="387"/>
      <c r="L645" s="387"/>
      <c r="M645" s="387"/>
      <c r="N645" s="387"/>
      <c r="O645" s="7"/>
      <c r="P645" s="137"/>
      <c r="Q645" s="137"/>
      <c r="R645" s="137"/>
      <c r="S645" s="127"/>
      <c r="T645" s="169"/>
      <c r="U645" s="169"/>
      <c r="V645" s="137"/>
      <c r="W645" s="3"/>
      <c r="X645" s="3"/>
      <c r="Y645" s="2"/>
      <c r="Z645" s="126"/>
    </row>
    <row r="646" spans="3:26" s="1" customFormat="1" ht="12.75" customHeight="1">
      <c r="C646" s="4"/>
      <c r="F646" s="4"/>
      <c r="G646" s="4"/>
      <c r="I646" s="6"/>
      <c r="J646" s="387"/>
      <c r="K646" s="387"/>
      <c r="L646" s="387"/>
      <c r="M646" s="387"/>
      <c r="N646" s="387"/>
      <c r="O646" s="7"/>
      <c r="P646" s="137"/>
      <c r="Q646" s="137"/>
      <c r="R646" s="137"/>
      <c r="S646" s="127"/>
      <c r="T646" s="169"/>
      <c r="U646" s="169"/>
      <c r="V646" s="137"/>
      <c r="W646" s="3"/>
      <c r="X646" s="3"/>
      <c r="Y646" s="2"/>
      <c r="Z646" s="126"/>
    </row>
    <row r="647" spans="3:26" s="1" customFormat="1" ht="12.75" customHeight="1">
      <c r="C647" s="4"/>
      <c r="F647" s="4"/>
      <c r="G647" s="4"/>
      <c r="I647" s="6"/>
      <c r="J647" s="387"/>
      <c r="K647" s="387"/>
      <c r="L647" s="387"/>
      <c r="M647" s="387"/>
      <c r="N647" s="387"/>
      <c r="O647" s="7"/>
      <c r="P647" s="137"/>
      <c r="Q647" s="137"/>
      <c r="R647" s="137"/>
      <c r="S647" s="127"/>
      <c r="T647" s="169"/>
      <c r="U647" s="169"/>
      <c r="V647" s="137"/>
      <c r="W647" s="3"/>
      <c r="X647" s="3"/>
      <c r="Y647" s="2"/>
      <c r="Z647" s="126"/>
    </row>
    <row r="648" spans="3:26" s="1" customFormat="1" ht="12.75" customHeight="1">
      <c r="C648" s="4"/>
      <c r="F648" s="4"/>
      <c r="G648" s="4"/>
      <c r="I648" s="6"/>
      <c r="J648" s="387"/>
      <c r="K648" s="387"/>
      <c r="L648" s="387"/>
      <c r="M648" s="387"/>
      <c r="N648" s="387"/>
      <c r="O648" s="7"/>
      <c r="P648" s="137"/>
      <c r="Q648" s="137"/>
      <c r="R648" s="137"/>
      <c r="S648" s="127"/>
      <c r="T648" s="169"/>
      <c r="U648" s="169"/>
      <c r="V648" s="137"/>
      <c r="W648" s="3"/>
      <c r="X648" s="3"/>
      <c r="Y648" s="2"/>
      <c r="Z648" s="126"/>
    </row>
    <row r="649" spans="3:26" s="1" customFormat="1" ht="12.75" customHeight="1">
      <c r="C649" s="4"/>
      <c r="F649" s="4"/>
      <c r="G649" s="4"/>
      <c r="I649" s="6"/>
      <c r="J649" s="387"/>
      <c r="K649" s="387"/>
      <c r="L649" s="387"/>
      <c r="M649" s="387"/>
      <c r="N649" s="387"/>
      <c r="O649" s="7"/>
      <c r="P649" s="137"/>
      <c r="Q649" s="137"/>
      <c r="R649" s="137"/>
      <c r="S649" s="127"/>
      <c r="T649" s="169"/>
      <c r="U649" s="169"/>
      <c r="V649" s="137"/>
      <c r="W649" s="3"/>
      <c r="X649" s="3"/>
      <c r="Y649" s="2"/>
      <c r="Z649" s="126"/>
    </row>
    <row r="650" spans="3:26" s="1" customFormat="1" ht="12.75" customHeight="1">
      <c r="C650" s="4"/>
      <c r="F650" s="4"/>
      <c r="G650" s="4"/>
      <c r="I650" s="6"/>
      <c r="J650" s="387"/>
      <c r="K650" s="387"/>
      <c r="L650" s="387"/>
      <c r="M650" s="387"/>
      <c r="N650" s="387"/>
      <c r="O650" s="7"/>
      <c r="P650" s="137"/>
      <c r="Q650" s="137"/>
      <c r="R650" s="137"/>
      <c r="S650" s="127"/>
      <c r="T650" s="169"/>
      <c r="U650" s="169"/>
      <c r="V650" s="137"/>
      <c r="W650" s="3"/>
      <c r="X650" s="3"/>
      <c r="Y650" s="2"/>
      <c r="Z650" s="126"/>
    </row>
    <row r="651" spans="3:26" s="1" customFormat="1" ht="12.75" customHeight="1">
      <c r="C651" s="4"/>
      <c r="F651" s="4"/>
      <c r="G651" s="4"/>
      <c r="I651" s="6"/>
      <c r="J651" s="387"/>
      <c r="K651" s="387"/>
      <c r="L651" s="387"/>
      <c r="M651" s="387"/>
      <c r="N651" s="387"/>
      <c r="O651" s="7"/>
      <c r="P651" s="137"/>
      <c r="Q651" s="137"/>
      <c r="R651" s="137"/>
      <c r="S651" s="127"/>
      <c r="T651" s="169"/>
      <c r="U651" s="169"/>
      <c r="V651" s="137"/>
      <c r="W651" s="3"/>
      <c r="X651" s="3"/>
      <c r="Y651" s="2"/>
      <c r="Z651" s="126"/>
    </row>
    <row r="652" spans="3:26" s="1" customFormat="1" ht="12.75" customHeight="1">
      <c r="C652" s="4"/>
      <c r="F652" s="4"/>
      <c r="G652" s="4"/>
      <c r="I652" s="6"/>
      <c r="J652" s="387"/>
      <c r="K652" s="387"/>
      <c r="L652" s="387"/>
      <c r="M652" s="387"/>
      <c r="N652" s="387"/>
      <c r="O652" s="7"/>
      <c r="P652" s="137"/>
      <c r="Q652" s="137"/>
      <c r="R652" s="137"/>
      <c r="S652" s="127"/>
      <c r="T652" s="169"/>
      <c r="U652" s="169"/>
      <c r="V652" s="137"/>
      <c r="W652" s="3"/>
      <c r="X652" s="3"/>
      <c r="Y652" s="2"/>
      <c r="Z652" s="126"/>
    </row>
    <row r="653" spans="3:26" s="1" customFormat="1" ht="12.75" customHeight="1">
      <c r="C653" s="4"/>
      <c r="F653" s="4"/>
      <c r="G653" s="4"/>
      <c r="I653" s="6"/>
      <c r="J653" s="387"/>
      <c r="K653" s="387"/>
      <c r="L653" s="387"/>
      <c r="M653" s="387"/>
      <c r="N653" s="387"/>
      <c r="O653" s="7"/>
      <c r="P653" s="137"/>
      <c r="Q653" s="137"/>
      <c r="R653" s="137"/>
      <c r="S653" s="127"/>
      <c r="T653" s="169"/>
      <c r="U653" s="169"/>
      <c r="V653" s="137"/>
      <c r="W653" s="3"/>
      <c r="X653" s="3"/>
      <c r="Y653" s="2"/>
      <c r="Z653" s="126"/>
    </row>
    <row r="654" spans="3:26" s="1" customFormat="1" ht="12.75" customHeight="1">
      <c r="C654" s="4"/>
      <c r="F654" s="4"/>
      <c r="G654" s="4"/>
      <c r="I654" s="6"/>
      <c r="J654" s="387"/>
      <c r="K654" s="387"/>
      <c r="L654" s="387"/>
      <c r="M654" s="387"/>
      <c r="N654" s="387"/>
      <c r="O654" s="7"/>
      <c r="P654" s="137"/>
      <c r="Q654" s="137"/>
      <c r="R654" s="137"/>
      <c r="S654" s="127"/>
      <c r="T654" s="169"/>
      <c r="U654" s="169"/>
      <c r="V654" s="137"/>
      <c r="W654" s="3"/>
      <c r="X654" s="3"/>
      <c r="Y654" s="2"/>
      <c r="Z654" s="126"/>
    </row>
    <row r="655" spans="3:26" s="1" customFormat="1" ht="12.75" customHeight="1">
      <c r="C655" s="4"/>
      <c r="F655" s="4"/>
      <c r="G655" s="4"/>
      <c r="I655" s="6"/>
      <c r="J655" s="387"/>
      <c r="K655" s="387"/>
      <c r="L655" s="387"/>
      <c r="M655" s="387"/>
      <c r="N655" s="387"/>
      <c r="O655" s="7"/>
      <c r="P655" s="137"/>
      <c r="Q655" s="137"/>
      <c r="R655" s="137"/>
      <c r="S655" s="127"/>
      <c r="T655" s="169"/>
      <c r="U655" s="169"/>
      <c r="V655" s="137"/>
      <c r="W655" s="3"/>
      <c r="X655" s="3"/>
      <c r="Y655" s="2"/>
      <c r="Z655" s="126"/>
    </row>
    <row r="656" spans="3:26" s="1" customFormat="1" ht="12.75" customHeight="1">
      <c r="C656" s="4"/>
      <c r="F656" s="4"/>
      <c r="G656" s="4"/>
      <c r="I656" s="6"/>
      <c r="J656" s="387"/>
      <c r="K656" s="387"/>
      <c r="L656" s="387"/>
      <c r="M656" s="387"/>
      <c r="N656" s="387"/>
      <c r="O656" s="7"/>
      <c r="P656" s="137"/>
      <c r="Q656" s="137"/>
      <c r="R656" s="137"/>
      <c r="S656" s="127"/>
      <c r="T656" s="169"/>
      <c r="U656" s="169"/>
      <c r="V656" s="137"/>
      <c r="W656" s="3"/>
      <c r="X656" s="3"/>
      <c r="Y656" s="2"/>
      <c r="Z656" s="126"/>
    </row>
    <row r="657" spans="3:26" s="1" customFormat="1" ht="12.75" customHeight="1">
      <c r="C657" s="4"/>
      <c r="F657" s="4"/>
      <c r="G657" s="4"/>
      <c r="I657" s="6"/>
      <c r="J657" s="387"/>
      <c r="K657" s="387"/>
      <c r="L657" s="387"/>
      <c r="M657" s="387"/>
      <c r="N657" s="387"/>
      <c r="O657" s="7"/>
      <c r="P657" s="137"/>
      <c r="Q657" s="137"/>
      <c r="R657" s="137"/>
      <c r="S657" s="127"/>
      <c r="T657" s="169"/>
      <c r="U657" s="169"/>
      <c r="V657" s="137"/>
      <c r="W657" s="3"/>
      <c r="X657" s="3"/>
      <c r="Y657" s="2"/>
      <c r="Z657" s="126"/>
    </row>
    <row r="658" spans="3:26" s="1" customFormat="1" ht="12.75" customHeight="1">
      <c r="C658" s="4"/>
      <c r="F658" s="4"/>
      <c r="G658" s="4"/>
      <c r="I658" s="6"/>
      <c r="J658" s="387"/>
      <c r="K658" s="387"/>
      <c r="L658" s="387"/>
      <c r="M658" s="387"/>
      <c r="N658" s="387"/>
      <c r="O658" s="7"/>
      <c r="P658" s="137"/>
      <c r="Q658" s="137"/>
      <c r="R658" s="137"/>
      <c r="S658" s="127"/>
      <c r="T658" s="169"/>
      <c r="U658" s="169"/>
      <c r="V658" s="137"/>
      <c r="W658" s="3"/>
      <c r="X658" s="3"/>
      <c r="Y658" s="2"/>
      <c r="Z658" s="126"/>
    </row>
    <row r="659" spans="3:26" s="1" customFormat="1" ht="12.75" customHeight="1">
      <c r="C659" s="4"/>
      <c r="F659" s="4"/>
      <c r="G659" s="4"/>
      <c r="I659" s="6"/>
      <c r="J659" s="387"/>
      <c r="K659" s="387"/>
      <c r="L659" s="387"/>
      <c r="M659" s="387"/>
      <c r="N659" s="387"/>
      <c r="O659" s="7"/>
      <c r="P659" s="137"/>
      <c r="Q659" s="137"/>
      <c r="R659" s="137"/>
      <c r="S659" s="127"/>
      <c r="T659" s="169"/>
      <c r="U659" s="169"/>
      <c r="V659" s="137"/>
      <c r="W659" s="3"/>
      <c r="X659" s="3"/>
      <c r="Y659" s="2"/>
      <c r="Z659" s="126"/>
    </row>
    <row r="660" spans="3:26" s="1" customFormat="1" ht="12.75" customHeight="1">
      <c r="C660" s="4"/>
      <c r="F660" s="4"/>
      <c r="G660" s="4"/>
      <c r="I660" s="6"/>
      <c r="J660" s="387"/>
      <c r="K660" s="387"/>
      <c r="L660" s="387"/>
      <c r="M660" s="387"/>
      <c r="N660" s="387"/>
      <c r="O660" s="7"/>
      <c r="P660" s="137"/>
      <c r="Q660" s="137"/>
      <c r="R660" s="137"/>
      <c r="S660" s="127"/>
      <c r="T660" s="169"/>
      <c r="U660" s="169"/>
      <c r="V660" s="137"/>
      <c r="W660" s="3"/>
      <c r="X660" s="3"/>
      <c r="Y660" s="2"/>
      <c r="Z660" s="126"/>
    </row>
    <row r="661" spans="3:26" s="1" customFormat="1" ht="12.75" customHeight="1">
      <c r="C661" s="4"/>
      <c r="F661" s="4"/>
      <c r="G661" s="4"/>
      <c r="I661" s="6"/>
      <c r="J661" s="387"/>
      <c r="K661" s="387"/>
      <c r="L661" s="387"/>
      <c r="M661" s="387"/>
      <c r="N661" s="387"/>
      <c r="O661" s="7"/>
      <c r="P661" s="137"/>
      <c r="Q661" s="137"/>
      <c r="R661" s="137"/>
      <c r="S661" s="127"/>
      <c r="T661" s="169"/>
      <c r="U661" s="169"/>
      <c r="V661" s="137"/>
      <c r="W661" s="3"/>
      <c r="X661" s="3"/>
      <c r="Y661" s="2"/>
      <c r="Z661" s="126"/>
    </row>
    <row r="662" spans="3:26" s="1" customFormat="1" ht="12.75" customHeight="1">
      <c r="C662" s="4"/>
      <c r="F662" s="4"/>
      <c r="G662" s="4"/>
      <c r="I662" s="6"/>
      <c r="J662" s="387"/>
      <c r="K662" s="387"/>
      <c r="L662" s="387"/>
      <c r="M662" s="387"/>
      <c r="N662" s="387"/>
      <c r="O662" s="7"/>
      <c r="P662" s="137"/>
      <c r="Q662" s="137"/>
      <c r="R662" s="137"/>
      <c r="S662" s="127"/>
      <c r="T662" s="169"/>
      <c r="U662" s="169"/>
      <c r="V662" s="137"/>
      <c r="W662" s="3"/>
      <c r="X662" s="3"/>
      <c r="Y662" s="2"/>
      <c r="Z662" s="126"/>
    </row>
    <row r="663" spans="3:26" s="1" customFormat="1" ht="12.75" customHeight="1">
      <c r="C663" s="4"/>
      <c r="F663" s="4"/>
      <c r="G663" s="4"/>
      <c r="I663" s="6"/>
      <c r="J663" s="387"/>
      <c r="K663" s="387"/>
      <c r="L663" s="387"/>
      <c r="M663" s="387"/>
      <c r="N663" s="387"/>
      <c r="O663" s="7"/>
      <c r="P663" s="137"/>
      <c r="Q663" s="137"/>
      <c r="R663" s="137"/>
      <c r="S663" s="127"/>
      <c r="T663" s="169"/>
      <c r="U663" s="169"/>
      <c r="V663" s="137"/>
      <c r="W663" s="3"/>
      <c r="X663" s="3"/>
      <c r="Y663" s="2"/>
      <c r="Z663" s="126"/>
    </row>
    <row r="664" spans="3:26" s="1" customFormat="1" ht="12.75" customHeight="1">
      <c r="C664" s="4"/>
      <c r="F664" s="4"/>
      <c r="G664" s="4"/>
      <c r="I664" s="6"/>
      <c r="J664" s="387"/>
      <c r="K664" s="387"/>
      <c r="L664" s="387"/>
      <c r="M664" s="387"/>
      <c r="N664" s="387"/>
      <c r="O664" s="7"/>
      <c r="P664" s="137"/>
      <c r="Q664" s="137"/>
      <c r="R664" s="137"/>
      <c r="S664" s="127"/>
      <c r="T664" s="169"/>
      <c r="U664" s="169"/>
      <c r="V664" s="137"/>
      <c r="W664" s="3"/>
      <c r="X664" s="3"/>
      <c r="Y664" s="2"/>
      <c r="Z664" s="126"/>
    </row>
    <row r="665" spans="3:26" s="1" customFormat="1" ht="12.75" customHeight="1">
      <c r="C665" s="4"/>
      <c r="F665" s="4"/>
      <c r="G665" s="4"/>
      <c r="I665" s="6"/>
      <c r="J665" s="387"/>
      <c r="K665" s="387"/>
      <c r="L665" s="387"/>
      <c r="M665" s="387"/>
      <c r="N665" s="387"/>
      <c r="O665" s="7"/>
      <c r="P665" s="137"/>
      <c r="Q665" s="137"/>
      <c r="R665" s="137"/>
      <c r="S665" s="127"/>
      <c r="T665" s="169"/>
      <c r="U665" s="169"/>
      <c r="V665" s="137"/>
      <c r="W665" s="3"/>
      <c r="X665" s="3"/>
      <c r="Y665" s="2"/>
      <c r="Z665" s="126"/>
    </row>
    <row r="666" spans="3:26" s="1" customFormat="1" ht="12.75" customHeight="1">
      <c r="C666" s="4"/>
      <c r="F666" s="4"/>
      <c r="G666" s="4"/>
      <c r="I666" s="6"/>
      <c r="J666" s="387"/>
      <c r="K666" s="387"/>
      <c r="L666" s="387"/>
      <c r="M666" s="387"/>
      <c r="N666" s="387"/>
      <c r="O666" s="7"/>
      <c r="P666" s="137"/>
      <c r="Q666" s="137"/>
      <c r="R666" s="137"/>
      <c r="S666" s="127"/>
      <c r="T666" s="169"/>
      <c r="U666" s="169"/>
      <c r="V666" s="137"/>
      <c r="W666" s="3"/>
      <c r="X666" s="3"/>
      <c r="Y666" s="2"/>
      <c r="Z666" s="126"/>
    </row>
    <row r="667" spans="3:26" s="1" customFormat="1" ht="12.75" customHeight="1">
      <c r="C667" s="4"/>
      <c r="F667" s="4"/>
      <c r="G667" s="4"/>
      <c r="I667" s="6"/>
      <c r="J667" s="387"/>
      <c r="K667" s="387"/>
      <c r="L667" s="387"/>
      <c r="M667" s="387"/>
      <c r="N667" s="387"/>
      <c r="O667" s="7"/>
      <c r="P667" s="137"/>
      <c r="Q667" s="137"/>
      <c r="R667" s="137"/>
      <c r="S667" s="127"/>
      <c r="T667" s="169"/>
      <c r="U667" s="169"/>
      <c r="V667" s="137"/>
      <c r="W667" s="3"/>
      <c r="X667" s="3"/>
      <c r="Y667" s="2"/>
      <c r="Z667" s="126"/>
    </row>
    <row r="668" spans="3:26" s="1" customFormat="1" ht="12.75" customHeight="1">
      <c r="C668" s="4"/>
      <c r="F668" s="4"/>
      <c r="G668" s="4"/>
      <c r="I668" s="6"/>
      <c r="J668" s="387"/>
      <c r="K668" s="387"/>
      <c r="L668" s="387"/>
      <c r="M668" s="387"/>
      <c r="N668" s="387"/>
      <c r="O668" s="7"/>
      <c r="P668" s="137"/>
      <c r="Q668" s="137"/>
      <c r="R668" s="137"/>
      <c r="S668" s="127"/>
      <c r="T668" s="169"/>
      <c r="U668" s="169"/>
      <c r="V668" s="137"/>
      <c r="W668" s="3"/>
      <c r="X668" s="3"/>
      <c r="Y668" s="2"/>
      <c r="Z668" s="126"/>
    </row>
    <row r="669" spans="3:26" s="1" customFormat="1" ht="12.75" customHeight="1">
      <c r="C669" s="4"/>
      <c r="F669" s="4"/>
      <c r="G669" s="4"/>
      <c r="I669" s="6"/>
      <c r="J669" s="387"/>
      <c r="K669" s="387"/>
      <c r="L669" s="387"/>
      <c r="M669" s="387"/>
      <c r="N669" s="387"/>
      <c r="O669" s="7"/>
      <c r="P669" s="137"/>
      <c r="Q669" s="137"/>
      <c r="R669" s="137"/>
      <c r="S669" s="127"/>
      <c r="T669" s="169"/>
      <c r="U669" s="169"/>
      <c r="V669" s="137"/>
      <c r="W669" s="3"/>
      <c r="X669" s="3"/>
      <c r="Y669" s="2"/>
      <c r="Z669" s="126"/>
    </row>
    <row r="670" spans="3:26" s="1" customFormat="1" ht="12.75" customHeight="1">
      <c r="C670" s="4"/>
      <c r="F670" s="4"/>
      <c r="G670" s="4"/>
      <c r="I670" s="6"/>
      <c r="J670" s="387"/>
      <c r="K670" s="387"/>
      <c r="L670" s="387"/>
      <c r="M670" s="387"/>
      <c r="N670" s="387"/>
      <c r="O670" s="7"/>
      <c r="P670" s="137"/>
      <c r="Q670" s="137"/>
      <c r="R670" s="137"/>
      <c r="S670" s="127"/>
      <c r="T670" s="169"/>
      <c r="U670" s="169"/>
      <c r="V670" s="137"/>
      <c r="W670" s="3"/>
      <c r="X670" s="3"/>
      <c r="Y670" s="2"/>
      <c r="Z670" s="126"/>
    </row>
    <row r="671" spans="3:26" s="1" customFormat="1" ht="12.75" customHeight="1">
      <c r="C671" s="4"/>
      <c r="F671" s="4"/>
      <c r="G671" s="4"/>
      <c r="I671" s="6"/>
      <c r="J671" s="387"/>
      <c r="K671" s="387"/>
      <c r="L671" s="387"/>
      <c r="M671" s="387"/>
      <c r="N671" s="387"/>
      <c r="O671" s="7"/>
      <c r="P671" s="137"/>
      <c r="Q671" s="137"/>
      <c r="R671" s="137"/>
      <c r="S671" s="127"/>
      <c r="T671" s="169"/>
      <c r="U671" s="169"/>
      <c r="V671" s="137"/>
      <c r="W671" s="3"/>
      <c r="X671" s="3"/>
      <c r="Y671" s="2"/>
      <c r="Z671" s="126"/>
    </row>
    <row r="672" spans="3:26" s="1" customFormat="1" ht="12.75" customHeight="1">
      <c r="C672" s="4"/>
      <c r="F672" s="4"/>
      <c r="G672" s="4"/>
      <c r="I672" s="6"/>
      <c r="J672" s="387"/>
      <c r="K672" s="387"/>
      <c r="L672" s="387"/>
      <c r="M672" s="387"/>
      <c r="N672" s="387"/>
      <c r="O672" s="7"/>
      <c r="P672" s="137"/>
      <c r="Q672" s="137"/>
      <c r="R672" s="137"/>
      <c r="S672" s="127"/>
      <c r="T672" s="169"/>
      <c r="U672" s="169"/>
      <c r="V672" s="137"/>
      <c r="W672" s="3"/>
      <c r="X672" s="3"/>
      <c r="Y672" s="2"/>
      <c r="Z672" s="126"/>
    </row>
    <row r="673" spans="3:26" s="1" customFormat="1" ht="12.75" customHeight="1">
      <c r="C673" s="4"/>
      <c r="F673" s="4"/>
      <c r="G673" s="4"/>
      <c r="I673" s="6"/>
      <c r="J673" s="387"/>
      <c r="K673" s="387"/>
      <c r="L673" s="387"/>
      <c r="M673" s="387"/>
      <c r="N673" s="387"/>
      <c r="O673" s="7"/>
      <c r="P673" s="137"/>
      <c r="Q673" s="137"/>
      <c r="R673" s="137"/>
      <c r="S673" s="127"/>
      <c r="T673" s="169"/>
      <c r="U673" s="169"/>
      <c r="V673" s="137"/>
      <c r="W673" s="3"/>
      <c r="X673" s="3"/>
      <c r="Y673" s="2"/>
      <c r="Z673" s="126"/>
    </row>
    <row r="674" spans="3:26" s="1" customFormat="1" ht="12.75" customHeight="1">
      <c r="C674" s="4"/>
      <c r="F674" s="4"/>
      <c r="G674" s="4"/>
      <c r="I674" s="6"/>
      <c r="J674" s="387"/>
      <c r="K674" s="387"/>
      <c r="L674" s="387"/>
      <c r="M674" s="387"/>
      <c r="N674" s="387"/>
      <c r="O674" s="7"/>
      <c r="P674" s="137"/>
      <c r="Q674" s="137"/>
      <c r="R674" s="137"/>
      <c r="S674" s="127"/>
      <c r="T674" s="169"/>
      <c r="U674" s="169"/>
      <c r="V674" s="137"/>
      <c r="W674" s="3"/>
      <c r="X674" s="3"/>
      <c r="Y674" s="2"/>
      <c r="Z674" s="126"/>
    </row>
    <row r="675" spans="3:26" s="1" customFormat="1" ht="12.75" customHeight="1">
      <c r="C675" s="4"/>
      <c r="F675" s="4"/>
      <c r="G675" s="4"/>
      <c r="I675" s="6"/>
      <c r="J675" s="387"/>
      <c r="K675" s="387"/>
      <c r="L675" s="387"/>
      <c r="M675" s="387"/>
      <c r="N675" s="387"/>
      <c r="O675" s="7"/>
      <c r="P675" s="137"/>
      <c r="Q675" s="137"/>
      <c r="R675" s="137"/>
      <c r="S675" s="127"/>
      <c r="T675" s="169"/>
      <c r="U675" s="169"/>
      <c r="V675" s="137"/>
      <c r="W675" s="3"/>
      <c r="X675" s="3"/>
      <c r="Y675" s="2"/>
      <c r="Z675" s="126"/>
    </row>
    <row r="676" spans="3:26" s="1" customFormat="1" ht="12.75" customHeight="1">
      <c r="C676" s="4"/>
      <c r="F676" s="4"/>
      <c r="G676" s="4"/>
      <c r="I676" s="6"/>
      <c r="J676" s="387"/>
      <c r="K676" s="387"/>
      <c r="L676" s="387"/>
      <c r="M676" s="387"/>
      <c r="N676" s="387"/>
      <c r="O676" s="7"/>
      <c r="P676" s="137"/>
      <c r="Q676" s="137"/>
      <c r="R676" s="137"/>
      <c r="S676" s="127"/>
      <c r="T676" s="169"/>
      <c r="U676" s="169"/>
      <c r="V676" s="137"/>
      <c r="W676" s="3"/>
      <c r="X676" s="3"/>
      <c r="Y676" s="2"/>
      <c r="Z676" s="126"/>
    </row>
    <row r="677" spans="3:26" s="1" customFormat="1" ht="12.75" customHeight="1">
      <c r="C677" s="4"/>
      <c r="F677" s="4"/>
      <c r="G677" s="4"/>
      <c r="I677" s="6"/>
      <c r="J677" s="387"/>
      <c r="K677" s="387"/>
      <c r="L677" s="387"/>
      <c r="M677" s="387"/>
      <c r="N677" s="387"/>
      <c r="O677" s="7"/>
      <c r="P677" s="137"/>
      <c r="Q677" s="137"/>
      <c r="R677" s="137"/>
      <c r="S677" s="127"/>
      <c r="T677" s="169"/>
      <c r="U677" s="169"/>
      <c r="V677" s="137"/>
      <c r="W677" s="3"/>
      <c r="X677" s="3"/>
      <c r="Y677" s="2"/>
      <c r="Z677" s="126"/>
    </row>
    <row r="678" spans="3:26" s="1" customFormat="1" ht="12.75" customHeight="1">
      <c r="C678" s="4"/>
      <c r="F678" s="4"/>
      <c r="G678" s="4"/>
      <c r="I678" s="6"/>
      <c r="J678" s="387"/>
      <c r="K678" s="387"/>
      <c r="L678" s="387"/>
      <c r="M678" s="387"/>
      <c r="N678" s="387"/>
      <c r="O678" s="7"/>
      <c r="P678" s="137"/>
      <c r="Q678" s="137"/>
      <c r="R678" s="137"/>
      <c r="S678" s="127"/>
      <c r="T678" s="169"/>
      <c r="U678" s="169"/>
      <c r="V678" s="137"/>
      <c r="W678" s="3"/>
      <c r="X678" s="3"/>
      <c r="Y678" s="2"/>
      <c r="Z678" s="126"/>
    </row>
    <row r="679" spans="3:26" s="1" customFormat="1" ht="12.75" customHeight="1">
      <c r="C679" s="4"/>
      <c r="F679" s="4"/>
      <c r="G679" s="4"/>
      <c r="I679" s="6"/>
      <c r="J679" s="387"/>
      <c r="K679" s="387"/>
      <c r="L679" s="387"/>
      <c r="M679" s="387"/>
      <c r="N679" s="387"/>
      <c r="O679" s="7"/>
      <c r="P679" s="137"/>
      <c r="Q679" s="137"/>
      <c r="R679" s="137"/>
      <c r="S679" s="127"/>
      <c r="T679" s="169"/>
      <c r="U679" s="169"/>
      <c r="V679" s="137"/>
      <c r="W679" s="3"/>
      <c r="X679" s="3"/>
      <c r="Y679" s="2"/>
      <c r="Z679" s="126"/>
    </row>
    <row r="680" spans="3:26" s="1" customFormat="1" ht="12.75" customHeight="1">
      <c r="C680" s="4"/>
      <c r="F680" s="4"/>
      <c r="G680" s="4"/>
      <c r="I680" s="6"/>
      <c r="J680" s="387"/>
      <c r="K680" s="387"/>
      <c r="L680" s="387"/>
      <c r="M680" s="387"/>
      <c r="N680" s="387"/>
      <c r="O680" s="7"/>
      <c r="P680" s="137"/>
      <c r="Q680" s="137"/>
      <c r="R680" s="137"/>
      <c r="S680" s="127"/>
      <c r="T680" s="169"/>
      <c r="U680" s="169"/>
      <c r="V680" s="137"/>
      <c r="W680" s="3"/>
      <c r="X680" s="3"/>
      <c r="Y680" s="2"/>
      <c r="Z680" s="126"/>
    </row>
    <row r="681" spans="3:26" s="1" customFormat="1" ht="12.75" customHeight="1">
      <c r="C681" s="4"/>
      <c r="F681" s="4"/>
      <c r="G681" s="4"/>
      <c r="I681" s="6"/>
      <c r="J681" s="387"/>
      <c r="K681" s="387"/>
      <c r="L681" s="387"/>
      <c r="M681" s="387"/>
      <c r="N681" s="387"/>
      <c r="O681" s="7"/>
      <c r="P681" s="137"/>
      <c r="Q681" s="137"/>
      <c r="R681" s="137"/>
      <c r="S681" s="127"/>
      <c r="T681" s="169"/>
      <c r="U681" s="169"/>
      <c r="V681" s="137"/>
      <c r="W681" s="3"/>
      <c r="X681" s="3"/>
      <c r="Y681" s="2"/>
      <c r="Z681" s="126"/>
    </row>
    <row r="682" spans="3:26" s="1" customFormat="1" ht="12.75" customHeight="1">
      <c r="C682" s="4"/>
      <c r="F682" s="4"/>
      <c r="G682" s="4"/>
      <c r="I682" s="6"/>
      <c r="J682" s="387"/>
      <c r="K682" s="387"/>
      <c r="L682" s="387"/>
      <c r="M682" s="387"/>
      <c r="N682" s="387"/>
      <c r="O682" s="7"/>
      <c r="P682" s="137"/>
      <c r="Q682" s="137"/>
      <c r="R682" s="137"/>
      <c r="S682" s="127"/>
      <c r="T682" s="169"/>
      <c r="U682" s="169"/>
      <c r="V682" s="137"/>
      <c r="W682" s="3"/>
      <c r="X682" s="3"/>
      <c r="Y682" s="2"/>
      <c r="Z682" s="126"/>
    </row>
    <row r="683" spans="3:26" s="1" customFormat="1" ht="12.75" customHeight="1">
      <c r="C683" s="4"/>
      <c r="F683" s="4"/>
      <c r="G683" s="4"/>
      <c r="I683" s="6"/>
      <c r="J683" s="387"/>
      <c r="K683" s="387"/>
      <c r="L683" s="387"/>
      <c r="M683" s="387"/>
      <c r="N683" s="387"/>
      <c r="O683" s="7"/>
      <c r="P683" s="137"/>
      <c r="Q683" s="137"/>
      <c r="R683" s="137"/>
      <c r="S683" s="127"/>
      <c r="T683" s="169"/>
      <c r="U683" s="169"/>
      <c r="V683" s="137"/>
      <c r="W683" s="3"/>
      <c r="X683" s="3"/>
      <c r="Y683" s="2"/>
      <c r="Z683" s="126"/>
    </row>
    <row r="684" spans="3:26" s="1" customFormat="1" ht="12.75" customHeight="1">
      <c r="C684" s="4"/>
      <c r="F684" s="4"/>
      <c r="G684" s="4"/>
      <c r="I684" s="6"/>
      <c r="J684" s="387"/>
      <c r="K684" s="387"/>
      <c r="L684" s="387"/>
      <c r="M684" s="387"/>
      <c r="N684" s="387"/>
      <c r="O684" s="7"/>
      <c r="P684" s="137"/>
      <c r="Q684" s="137"/>
      <c r="R684" s="137"/>
      <c r="S684" s="127"/>
      <c r="T684" s="169"/>
      <c r="U684" s="169"/>
      <c r="V684" s="137"/>
      <c r="W684" s="3"/>
      <c r="X684" s="3"/>
      <c r="Y684" s="2"/>
      <c r="Z684" s="126"/>
    </row>
    <row r="685" spans="3:26" s="1" customFormat="1" ht="12.75" customHeight="1">
      <c r="C685" s="4"/>
      <c r="F685" s="4"/>
      <c r="G685" s="4"/>
      <c r="I685" s="6"/>
      <c r="J685" s="387"/>
      <c r="K685" s="387"/>
      <c r="L685" s="387"/>
      <c r="M685" s="387"/>
      <c r="N685" s="387"/>
      <c r="O685" s="7"/>
      <c r="P685" s="137"/>
      <c r="Q685" s="137"/>
      <c r="R685" s="137"/>
      <c r="S685" s="127"/>
      <c r="T685" s="169"/>
      <c r="U685" s="169"/>
      <c r="V685" s="137"/>
      <c r="W685" s="3"/>
      <c r="X685" s="3"/>
      <c r="Y685" s="2"/>
      <c r="Z685" s="126"/>
    </row>
    <row r="686" spans="3:26" s="1" customFormat="1" ht="12.75" customHeight="1">
      <c r="C686" s="4"/>
      <c r="F686" s="4"/>
      <c r="G686" s="4"/>
      <c r="I686" s="6"/>
      <c r="J686" s="387"/>
      <c r="K686" s="387"/>
      <c r="L686" s="387"/>
      <c r="M686" s="387"/>
      <c r="N686" s="387"/>
      <c r="O686" s="7"/>
      <c r="P686" s="137"/>
      <c r="Q686" s="137"/>
      <c r="R686" s="137"/>
      <c r="S686" s="127"/>
      <c r="T686" s="169"/>
      <c r="U686" s="169"/>
      <c r="V686" s="137"/>
      <c r="W686" s="3"/>
      <c r="X686" s="3"/>
      <c r="Y686" s="2"/>
      <c r="Z686" s="126"/>
    </row>
    <row r="687" spans="3:26" s="1" customFormat="1" ht="12.75" customHeight="1">
      <c r="C687" s="4"/>
      <c r="F687" s="4"/>
      <c r="G687" s="4"/>
      <c r="I687" s="6"/>
      <c r="J687" s="387"/>
      <c r="K687" s="387"/>
      <c r="L687" s="387"/>
      <c r="M687" s="387"/>
      <c r="N687" s="387"/>
      <c r="O687" s="7"/>
      <c r="P687" s="137"/>
      <c r="Q687" s="137"/>
      <c r="R687" s="137"/>
      <c r="S687" s="127"/>
      <c r="T687" s="169"/>
      <c r="U687" s="169"/>
      <c r="V687" s="137"/>
      <c r="W687" s="3"/>
      <c r="X687" s="3"/>
      <c r="Y687" s="2"/>
      <c r="Z687" s="126"/>
    </row>
    <row r="688" spans="3:26" s="1" customFormat="1" ht="12.75" customHeight="1">
      <c r="C688" s="4"/>
      <c r="F688" s="4"/>
      <c r="G688" s="4"/>
      <c r="I688" s="6"/>
      <c r="J688" s="387"/>
      <c r="K688" s="387"/>
      <c r="L688" s="387"/>
      <c r="M688" s="387"/>
      <c r="N688" s="387"/>
      <c r="O688" s="7"/>
      <c r="P688" s="137"/>
      <c r="Q688" s="137"/>
      <c r="R688" s="137"/>
      <c r="S688" s="127"/>
      <c r="T688" s="169"/>
      <c r="U688" s="169"/>
      <c r="V688" s="137"/>
      <c r="W688" s="3"/>
      <c r="X688" s="3"/>
      <c r="Y688" s="2"/>
      <c r="Z688" s="126"/>
    </row>
    <row r="689" spans="3:26" s="1" customFormat="1" ht="12.75" customHeight="1">
      <c r="C689" s="4"/>
      <c r="F689" s="4"/>
      <c r="G689" s="4"/>
      <c r="I689" s="6"/>
      <c r="J689" s="387"/>
      <c r="K689" s="387"/>
      <c r="L689" s="387"/>
      <c r="M689" s="387"/>
      <c r="N689" s="387"/>
      <c r="O689" s="7"/>
      <c r="P689" s="137"/>
      <c r="Q689" s="137"/>
      <c r="R689" s="137"/>
      <c r="S689" s="127"/>
      <c r="T689" s="169"/>
      <c r="U689" s="169"/>
      <c r="V689" s="137"/>
      <c r="W689" s="3"/>
      <c r="X689" s="3"/>
      <c r="Y689" s="2"/>
      <c r="Z689" s="126"/>
    </row>
    <row r="690" spans="3:26" s="1" customFormat="1" ht="12.75" customHeight="1">
      <c r="C690" s="4"/>
      <c r="F690" s="4"/>
      <c r="G690" s="4"/>
      <c r="I690" s="6"/>
      <c r="J690" s="387"/>
      <c r="K690" s="387"/>
      <c r="L690" s="387"/>
      <c r="M690" s="387"/>
      <c r="N690" s="387"/>
      <c r="O690" s="7"/>
      <c r="P690" s="137"/>
      <c r="Q690" s="137"/>
      <c r="R690" s="137"/>
      <c r="S690" s="127"/>
      <c r="T690" s="169"/>
      <c r="U690" s="169"/>
      <c r="V690" s="137"/>
      <c r="W690" s="3"/>
      <c r="X690" s="3"/>
      <c r="Y690" s="2"/>
      <c r="Z690" s="126"/>
    </row>
    <row r="691" spans="3:26" s="1" customFormat="1" ht="12.75" customHeight="1">
      <c r="C691" s="4"/>
      <c r="F691" s="4"/>
      <c r="G691" s="4"/>
      <c r="I691" s="6"/>
      <c r="J691" s="387"/>
      <c r="K691" s="387"/>
      <c r="L691" s="387"/>
      <c r="M691" s="387"/>
      <c r="N691" s="387"/>
      <c r="O691" s="7"/>
      <c r="P691" s="137"/>
      <c r="Q691" s="137"/>
      <c r="R691" s="137"/>
      <c r="S691" s="127"/>
      <c r="T691" s="169"/>
      <c r="U691" s="169"/>
      <c r="V691" s="137"/>
      <c r="W691" s="3"/>
      <c r="X691" s="3"/>
      <c r="Y691" s="2"/>
      <c r="Z691" s="126"/>
    </row>
    <row r="692" spans="3:26" s="1" customFormat="1" ht="12.75" customHeight="1">
      <c r="C692" s="4"/>
      <c r="F692" s="4"/>
      <c r="G692" s="4"/>
      <c r="I692" s="6"/>
      <c r="J692" s="387"/>
      <c r="K692" s="387"/>
      <c r="L692" s="387"/>
      <c r="M692" s="387"/>
      <c r="N692" s="387"/>
      <c r="O692" s="7"/>
      <c r="P692" s="137"/>
      <c r="Q692" s="137"/>
      <c r="R692" s="137"/>
      <c r="S692" s="127"/>
      <c r="T692" s="169"/>
      <c r="U692" s="169"/>
      <c r="V692" s="137"/>
      <c r="W692" s="3"/>
      <c r="X692" s="3"/>
      <c r="Y692" s="2"/>
      <c r="Z692" s="126"/>
    </row>
    <row r="693" spans="3:26" s="1" customFormat="1" ht="12.75" customHeight="1">
      <c r="C693" s="4"/>
      <c r="F693" s="4"/>
      <c r="G693" s="4"/>
      <c r="I693" s="6"/>
      <c r="J693" s="387"/>
      <c r="K693" s="387"/>
      <c r="L693" s="387"/>
      <c r="M693" s="387"/>
      <c r="N693" s="387"/>
      <c r="O693" s="7"/>
      <c r="P693" s="137"/>
      <c r="Q693" s="137"/>
      <c r="R693" s="137"/>
      <c r="S693" s="127"/>
      <c r="T693" s="169"/>
      <c r="U693" s="169"/>
      <c r="V693" s="137"/>
      <c r="W693" s="3"/>
      <c r="X693" s="3"/>
      <c r="Y693" s="2"/>
      <c r="Z693" s="126"/>
    </row>
    <row r="694" spans="3:26" s="1" customFormat="1" ht="12.75" customHeight="1">
      <c r="C694" s="4"/>
      <c r="F694" s="4"/>
      <c r="G694" s="4"/>
      <c r="I694" s="6"/>
      <c r="J694" s="387"/>
      <c r="K694" s="387"/>
      <c r="L694" s="387"/>
      <c r="M694" s="387"/>
      <c r="N694" s="387"/>
      <c r="O694" s="7"/>
      <c r="P694" s="137"/>
      <c r="Q694" s="137"/>
      <c r="R694" s="137"/>
      <c r="S694" s="127"/>
      <c r="T694" s="169"/>
      <c r="U694" s="169"/>
      <c r="V694" s="137"/>
      <c r="W694" s="3"/>
      <c r="X694" s="3"/>
      <c r="Y694" s="2"/>
      <c r="Z694" s="126"/>
    </row>
    <row r="695" spans="3:26" s="1" customFormat="1" ht="12.75" customHeight="1">
      <c r="C695" s="4"/>
      <c r="F695" s="4"/>
      <c r="G695" s="4"/>
      <c r="I695" s="6"/>
      <c r="J695" s="387"/>
      <c r="K695" s="387"/>
      <c r="L695" s="387"/>
      <c r="M695" s="387"/>
      <c r="N695" s="387"/>
      <c r="O695" s="7"/>
      <c r="P695" s="137"/>
      <c r="Q695" s="137"/>
      <c r="R695" s="137"/>
      <c r="S695" s="127"/>
      <c r="T695" s="169"/>
      <c r="U695" s="169"/>
      <c r="V695" s="137"/>
      <c r="W695" s="3"/>
      <c r="X695" s="3"/>
      <c r="Y695" s="2"/>
      <c r="Z695" s="126"/>
    </row>
    <row r="696" spans="3:26" s="1" customFormat="1" ht="12.75" customHeight="1">
      <c r="C696" s="4"/>
      <c r="F696" s="4"/>
      <c r="G696" s="4"/>
      <c r="I696" s="6"/>
      <c r="J696" s="387"/>
      <c r="K696" s="387"/>
      <c r="L696" s="387"/>
      <c r="M696" s="387"/>
      <c r="N696" s="387"/>
      <c r="O696" s="7"/>
      <c r="P696" s="137"/>
      <c r="Q696" s="137"/>
      <c r="R696" s="137"/>
      <c r="S696" s="127"/>
      <c r="T696" s="169"/>
      <c r="U696" s="169"/>
      <c r="V696" s="137"/>
      <c r="W696" s="3"/>
      <c r="X696" s="3"/>
      <c r="Y696" s="2"/>
      <c r="Z696" s="126"/>
    </row>
    <row r="697" spans="3:26" s="1" customFormat="1" ht="12.75" customHeight="1">
      <c r="C697" s="4"/>
      <c r="F697" s="4"/>
      <c r="G697" s="4"/>
      <c r="I697" s="6"/>
      <c r="J697" s="387"/>
      <c r="K697" s="387"/>
      <c r="L697" s="387"/>
      <c r="M697" s="387"/>
      <c r="N697" s="387"/>
      <c r="O697" s="7"/>
      <c r="P697" s="137"/>
      <c r="Q697" s="137"/>
      <c r="R697" s="137"/>
      <c r="S697" s="127"/>
      <c r="T697" s="169"/>
      <c r="U697" s="169"/>
      <c r="V697" s="137"/>
      <c r="W697" s="3"/>
      <c r="X697" s="3"/>
      <c r="Y697" s="2"/>
      <c r="Z697" s="126"/>
    </row>
    <row r="698" spans="3:26" s="1" customFormat="1" ht="12.75" customHeight="1">
      <c r="C698" s="4"/>
      <c r="F698" s="4"/>
      <c r="G698" s="4"/>
      <c r="I698" s="6"/>
      <c r="J698" s="387"/>
      <c r="K698" s="387"/>
      <c r="L698" s="387"/>
      <c r="M698" s="387"/>
      <c r="N698" s="387"/>
      <c r="O698" s="7"/>
      <c r="P698" s="137"/>
      <c r="Q698" s="137"/>
      <c r="R698" s="137"/>
      <c r="S698" s="127"/>
      <c r="T698" s="169"/>
      <c r="U698" s="169"/>
      <c r="V698" s="137"/>
      <c r="W698" s="3"/>
      <c r="X698" s="3"/>
      <c r="Y698" s="2"/>
      <c r="Z698" s="126"/>
    </row>
    <row r="699" spans="3:26" s="1" customFormat="1" ht="12.75" customHeight="1">
      <c r="C699" s="4"/>
      <c r="F699" s="4"/>
      <c r="G699" s="4"/>
      <c r="I699" s="6"/>
      <c r="J699" s="387"/>
      <c r="K699" s="387"/>
      <c r="L699" s="387"/>
      <c r="M699" s="387"/>
      <c r="N699" s="387"/>
      <c r="O699" s="7"/>
      <c r="P699" s="137"/>
      <c r="Q699" s="137"/>
      <c r="R699" s="137"/>
      <c r="S699" s="127"/>
      <c r="T699" s="169"/>
      <c r="U699" s="169"/>
      <c r="V699" s="137"/>
      <c r="W699" s="3"/>
      <c r="X699" s="3"/>
      <c r="Y699" s="2"/>
      <c r="Z699" s="126"/>
    </row>
    <row r="700" spans="3:26" s="1" customFormat="1" ht="12.75" customHeight="1">
      <c r="C700" s="4"/>
      <c r="F700" s="4"/>
      <c r="G700" s="4"/>
      <c r="I700" s="6"/>
      <c r="J700" s="387"/>
      <c r="K700" s="387"/>
      <c r="L700" s="387"/>
      <c r="M700" s="387"/>
      <c r="N700" s="387"/>
      <c r="O700" s="7"/>
      <c r="P700" s="137"/>
      <c r="Q700" s="137"/>
      <c r="R700" s="137"/>
      <c r="S700" s="127"/>
      <c r="T700" s="169"/>
      <c r="U700" s="169"/>
      <c r="V700" s="137"/>
      <c r="W700" s="3"/>
      <c r="X700" s="3"/>
      <c r="Y700" s="2"/>
      <c r="Z700" s="126"/>
    </row>
    <row r="701" spans="3:26" s="1" customFormat="1" ht="12.75" customHeight="1">
      <c r="C701" s="4"/>
      <c r="F701" s="4"/>
      <c r="G701" s="4"/>
      <c r="I701" s="6"/>
      <c r="J701" s="387"/>
      <c r="K701" s="387"/>
      <c r="L701" s="387"/>
      <c r="M701" s="387"/>
      <c r="N701" s="387"/>
      <c r="O701" s="7"/>
      <c r="P701" s="137"/>
      <c r="Q701" s="137"/>
      <c r="R701" s="137"/>
      <c r="S701" s="127"/>
      <c r="T701" s="169"/>
      <c r="U701" s="169"/>
      <c r="V701" s="137"/>
      <c r="W701" s="3"/>
      <c r="X701" s="3"/>
      <c r="Y701" s="2"/>
      <c r="Z701" s="126"/>
    </row>
    <row r="702" spans="3:26" s="1" customFormat="1" ht="12.75" customHeight="1">
      <c r="C702" s="4"/>
      <c r="F702" s="4"/>
      <c r="G702" s="4"/>
      <c r="I702" s="6"/>
      <c r="J702" s="387"/>
      <c r="K702" s="387"/>
      <c r="L702" s="387"/>
      <c r="M702" s="387"/>
      <c r="N702" s="387"/>
      <c r="O702" s="7"/>
      <c r="P702" s="137"/>
      <c r="Q702" s="137"/>
      <c r="R702" s="137"/>
      <c r="S702" s="127"/>
      <c r="T702" s="169"/>
      <c r="U702" s="169"/>
      <c r="V702" s="137"/>
      <c r="W702" s="3"/>
      <c r="X702" s="3"/>
      <c r="Y702" s="2"/>
      <c r="Z702" s="126"/>
    </row>
    <row r="703" spans="3:26" s="1" customFormat="1" ht="12.75" customHeight="1">
      <c r="C703" s="4"/>
      <c r="F703" s="4"/>
      <c r="G703" s="4"/>
      <c r="I703" s="6"/>
      <c r="J703" s="387"/>
      <c r="K703" s="387"/>
      <c r="L703" s="387"/>
      <c r="M703" s="387"/>
      <c r="N703" s="387"/>
      <c r="O703" s="7"/>
      <c r="P703" s="137"/>
      <c r="Q703" s="137"/>
      <c r="R703" s="137"/>
      <c r="S703" s="127"/>
      <c r="T703" s="169"/>
      <c r="U703" s="169"/>
      <c r="V703" s="137"/>
      <c r="W703" s="3"/>
      <c r="X703" s="3"/>
      <c r="Y703" s="2"/>
      <c r="Z703" s="126"/>
    </row>
    <row r="704" spans="3:26" s="1" customFormat="1" ht="12.75" customHeight="1">
      <c r="C704" s="4"/>
      <c r="F704" s="4"/>
      <c r="G704" s="4"/>
      <c r="I704" s="6"/>
      <c r="J704" s="387"/>
      <c r="K704" s="387"/>
      <c r="L704" s="387"/>
      <c r="M704" s="387"/>
      <c r="N704" s="387"/>
      <c r="O704" s="7"/>
      <c r="P704" s="137"/>
      <c r="Q704" s="137"/>
      <c r="R704" s="137"/>
      <c r="S704" s="127"/>
      <c r="T704" s="169"/>
      <c r="U704" s="169"/>
      <c r="V704" s="137"/>
      <c r="W704" s="3"/>
      <c r="X704" s="3"/>
      <c r="Y704" s="2"/>
      <c r="Z704" s="126"/>
    </row>
    <row r="705" spans="3:26" s="1" customFormat="1" ht="12.75" customHeight="1">
      <c r="C705" s="4"/>
      <c r="F705" s="4"/>
      <c r="G705" s="4"/>
      <c r="I705" s="6"/>
      <c r="J705" s="387"/>
      <c r="K705" s="387"/>
      <c r="L705" s="387"/>
      <c r="M705" s="387"/>
      <c r="N705" s="387"/>
      <c r="O705" s="7"/>
      <c r="P705" s="137"/>
      <c r="Q705" s="137"/>
      <c r="R705" s="137"/>
      <c r="S705" s="127"/>
      <c r="T705" s="169"/>
      <c r="U705" s="169"/>
      <c r="V705" s="137"/>
      <c r="W705" s="3"/>
      <c r="X705" s="3"/>
      <c r="Y705" s="2"/>
      <c r="Z705" s="126"/>
    </row>
    <row r="706" spans="3:26" s="1" customFormat="1" ht="12.75" customHeight="1">
      <c r="C706" s="4"/>
      <c r="F706" s="4"/>
      <c r="G706" s="4"/>
      <c r="I706" s="6"/>
      <c r="J706" s="387"/>
      <c r="K706" s="387"/>
      <c r="L706" s="387"/>
      <c r="M706" s="387"/>
      <c r="N706" s="387"/>
      <c r="O706" s="7"/>
      <c r="P706" s="137"/>
      <c r="Q706" s="137"/>
      <c r="R706" s="137"/>
      <c r="S706" s="127"/>
      <c r="T706" s="169"/>
      <c r="U706" s="169"/>
      <c r="V706" s="137"/>
      <c r="W706" s="3"/>
      <c r="X706" s="3"/>
      <c r="Y706" s="2"/>
      <c r="Z706" s="126"/>
    </row>
    <row r="707" spans="3:26" s="1" customFormat="1" ht="12.75" customHeight="1">
      <c r="C707" s="4"/>
      <c r="F707" s="4"/>
      <c r="G707" s="4"/>
      <c r="I707" s="6"/>
      <c r="J707" s="387"/>
      <c r="K707" s="387"/>
      <c r="L707" s="387"/>
      <c r="M707" s="387"/>
      <c r="N707" s="387"/>
      <c r="O707" s="7"/>
      <c r="P707" s="137"/>
      <c r="Q707" s="137"/>
      <c r="R707" s="137"/>
      <c r="S707" s="127"/>
      <c r="T707" s="169"/>
      <c r="U707" s="169"/>
      <c r="V707" s="137"/>
      <c r="W707" s="3"/>
      <c r="X707" s="3"/>
      <c r="Y707" s="2"/>
      <c r="Z707" s="126"/>
    </row>
    <row r="708" spans="3:26" s="1" customFormat="1" ht="12.75" customHeight="1">
      <c r="C708" s="4"/>
      <c r="F708" s="4"/>
      <c r="G708" s="4"/>
      <c r="I708" s="6"/>
      <c r="J708" s="387"/>
      <c r="K708" s="387"/>
      <c r="L708" s="387"/>
      <c r="M708" s="387"/>
      <c r="N708" s="387"/>
      <c r="O708" s="7"/>
      <c r="P708" s="137"/>
      <c r="Q708" s="137"/>
      <c r="R708" s="137"/>
      <c r="S708" s="127"/>
      <c r="T708" s="169"/>
      <c r="U708" s="169"/>
      <c r="V708" s="137"/>
      <c r="W708" s="3"/>
      <c r="X708" s="3"/>
      <c r="Y708" s="2"/>
      <c r="Z708" s="126"/>
    </row>
    <row r="709" spans="3:26" s="1" customFormat="1" ht="12.75" customHeight="1">
      <c r="C709" s="4"/>
      <c r="F709" s="4"/>
      <c r="G709" s="4"/>
      <c r="I709" s="6"/>
      <c r="J709" s="387"/>
      <c r="K709" s="387"/>
      <c r="L709" s="387"/>
      <c r="M709" s="387"/>
      <c r="N709" s="387"/>
      <c r="O709" s="7"/>
      <c r="P709" s="137"/>
      <c r="Q709" s="137"/>
      <c r="R709" s="137"/>
      <c r="S709" s="127"/>
      <c r="T709" s="169"/>
      <c r="U709" s="169"/>
      <c r="V709" s="137"/>
      <c r="W709" s="3"/>
      <c r="X709" s="3"/>
      <c r="Y709" s="2"/>
      <c r="Z709" s="126"/>
    </row>
    <row r="710" spans="3:26" s="1" customFormat="1" ht="12.75" customHeight="1">
      <c r="C710" s="4"/>
      <c r="F710" s="4"/>
      <c r="G710" s="4"/>
      <c r="I710" s="6"/>
      <c r="J710" s="387"/>
      <c r="K710" s="387"/>
      <c r="L710" s="387"/>
      <c r="M710" s="387"/>
      <c r="N710" s="387"/>
      <c r="O710" s="7"/>
      <c r="P710" s="137"/>
      <c r="Q710" s="137"/>
      <c r="R710" s="137"/>
      <c r="S710" s="127"/>
      <c r="T710" s="169"/>
      <c r="U710" s="169"/>
      <c r="V710" s="137"/>
      <c r="W710" s="3"/>
      <c r="X710" s="3"/>
      <c r="Y710" s="2"/>
      <c r="Z710" s="126"/>
    </row>
    <row r="711" spans="3:26" s="1" customFormat="1" ht="12.75" customHeight="1">
      <c r="C711" s="4"/>
      <c r="F711" s="4"/>
      <c r="G711" s="4"/>
      <c r="I711" s="6"/>
      <c r="J711" s="387"/>
      <c r="K711" s="387"/>
      <c r="L711" s="387"/>
      <c r="M711" s="387"/>
      <c r="N711" s="387"/>
      <c r="O711" s="7"/>
      <c r="P711" s="137"/>
      <c r="Q711" s="137"/>
      <c r="R711" s="137"/>
      <c r="S711" s="127"/>
      <c r="T711" s="169"/>
      <c r="U711" s="169"/>
      <c r="V711" s="137"/>
      <c r="W711" s="3"/>
      <c r="X711" s="3"/>
      <c r="Y711" s="2"/>
      <c r="Z711" s="126"/>
    </row>
    <row r="712" spans="3:26" s="1" customFormat="1" ht="12.75" customHeight="1">
      <c r="C712" s="4"/>
      <c r="F712" s="4"/>
      <c r="G712" s="4"/>
      <c r="I712" s="6"/>
      <c r="J712" s="387"/>
      <c r="K712" s="387"/>
      <c r="L712" s="387"/>
      <c r="M712" s="387"/>
      <c r="N712" s="387"/>
      <c r="O712" s="7"/>
      <c r="P712" s="137"/>
      <c r="Q712" s="137"/>
      <c r="R712" s="137"/>
      <c r="S712" s="127"/>
      <c r="T712" s="169"/>
      <c r="U712" s="169"/>
      <c r="V712" s="137"/>
      <c r="W712" s="3"/>
      <c r="X712" s="3"/>
      <c r="Y712" s="2"/>
      <c r="Z712" s="126"/>
    </row>
    <row r="713" spans="3:26" s="1" customFormat="1" ht="12.75" customHeight="1">
      <c r="C713" s="4"/>
      <c r="F713" s="4"/>
      <c r="G713" s="4"/>
      <c r="I713" s="6"/>
      <c r="J713" s="387"/>
      <c r="K713" s="387"/>
      <c r="L713" s="387"/>
      <c r="M713" s="387"/>
      <c r="N713" s="387"/>
      <c r="O713" s="7"/>
      <c r="P713" s="137"/>
      <c r="Q713" s="137"/>
      <c r="R713" s="137"/>
      <c r="S713" s="127"/>
      <c r="T713" s="169"/>
      <c r="U713" s="169"/>
      <c r="V713" s="137"/>
      <c r="W713" s="3"/>
      <c r="X713" s="3"/>
      <c r="Y713" s="2"/>
      <c r="Z713" s="126"/>
    </row>
    <row r="714" spans="3:26" s="1" customFormat="1" ht="12.75" customHeight="1">
      <c r="C714" s="4"/>
      <c r="F714" s="4"/>
      <c r="G714" s="4"/>
      <c r="I714" s="6"/>
      <c r="J714" s="387"/>
      <c r="K714" s="387"/>
      <c r="L714" s="387"/>
      <c r="M714" s="387"/>
      <c r="N714" s="387"/>
      <c r="O714" s="7"/>
      <c r="P714" s="137"/>
      <c r="Q714" s="137"/>
      <c r="R714" s="137"/>
      <c r="S714" s="127"/>
      <c r="T714" s="169"/>
      <c r="U714" s="169"/>
      <c r="V714" s="137"/>
      <c r="W714" s="3"/>
      <c r="X714" s="3"/>
      <c r="Y714" s="2"/>
      <c r="Z714" s="126"/>
    </row>
    <row r="715" spans="3:26" s="1" customFormat="1" ht="12.75" customHeight="1">
      <c r="C715" s="4"/>
      <c r="F715" s="4"/>
      <c r="G715" s="4"/>
      <c r="I715" s="6"/>
      <c r="J715" s="387"/>
      <c r="K715" s="387"/>
      <c r="L715" s="387"/>
      <c r="M715" s="387"/>
      <c r="N715" s="387"/>
      <c r="O715" s="7"/>
      <c r="P715" s="137"/>
      <c r="Q715" s="137"/>
      <c r="R715" s="137"/>
      <c r="S715" s="127"/>
      <c r="T715" s="169"/>
      <c r="U715" s="169"/>
      <c r="V715" s="137"/>
      <c r="W715" s="3"/>
      <c r="X715" s="3"/>
      <c r="Y715" s="2"/>
      <c r="Z715" s="126"/>
    </row>
    <row r="716" spans="3:26" s="1" customFormat="1" ht="12.75" customHeight="1">
      <c r="C716" s="4"/>
      <c r="F716" s="4"/>
      <c r="G716" s="4"/>
      <c r="I716" s="6"/>
      <c r="J716" s="387"/>
      <c r="K716" s="387"/>
      <c r="L716" s="387"/>
      <c r="M716" s="387"/>
      <c r="N716" s="387"/>
      <c r="O716" s="7"/>
      <c r="P716" s="137"/>
      <c r="Q716" s="137"/>
      <c r="R716" s="137"/>
      <c r="S716" s="127"/>
      <c r="T716" s="169"/>
      <c r="U716" s="169"/>
      <c r="V716" s="137"/>
      <c r="W716" s="3"/>
      <c r="X716" s="3"/>
      <c r="Y716" s="2"/>
      <c r="Z716" s="126"/>
    </row>
    <row r="717" spans="3:26" s="1" customFormat="1" ht="12.75" customHeight="1">
      <c r="C717" s="4"/>
      <c r="F717" s="4"/>
      <c r="G717" s="4"/>
      <c r="I717" s="6"/>
      <c r="J717" s="387"/>
      <c r="K717" s="387"/>
      <c r="L717" s="387"/>
      <c r="M717" s="387"/>
      <c r="N717" s="387"/>
      <c r="O717" s="7"/>
      <c r="P717" s="137"/>
      <c r="Q717" s="137"/>
      <c r="R717" s="137"/>
      <c r="S717" s="127"/>
      <c r="T717" s="169"/>
      <c r="U717" s="169"/>
      <c r="V717" s="137"/>
      <c r="W717" s="3"/>
      <c r="X717" s="3"/>
      <c r="Y717" s="2"/>
      <c r="Z717" s="126"/>
    </row>
    <row r="718" spans="3:26" s="1" customFormat="1" ht="12.75" customHeight="1">
      <c r="C718" s="4"/>
      <c r="F718" s="4"/>
      <c r="G718" s="4"/>
      <c r="I718" s="6"/>
      <c r="J718" s="387"/>
      <c r="K718" s="387"/>
      <c r="L718" s="387"/>
      <c r="M718" s="387"/>
      <c r="N718" s="387"/>
      <c r="O718" s="7"/>
      <c r="P718" s="137"/>
      <c r="Q718" s="137"/>
      <c r="R718" s="137"/>
      <c r="S718" s="127"/>
      <c r="T718" s="169"/>
      <c r="U718" s="169"/>
      <c r="V718" s="137"/>
      <c r="W718" s="3"/>
      <c r="X718" s="3"/>
      <c r="Y718" s="2"/>
      <c r="Z718" s="126"/>
    </row>
    <row r="719" spans="3:26" s="1" customFormat="1" ht="12.75" customHeight="1">
      <c r="C719" s="4"/>
      <c r="F719" s="4"/>
      <c r="G719" s="4"/>
      <c r="I719" s="6"/>
      <c r="J719" s="387"/>
      <c r="K719" s="387"/>
      <c r="L719" s="387"/>
      <c r="M719" s="387"/>
      <c r="N719" s="387"/>
      <c r="O719" s="7"/>
      <c r="P719" s="137"/>
      <c r="Q719" s="137"/>
      <c r="R719" s="137"/>
      <c r="S719" s="127"/>
      <c r="T719" s="169"/>
      <c r="U719" s="169"/>
      <c r="V719" s="137"/>
      <c r="W719" s="3"/>
      <c r="X719" s="3"/>
      <c r="Y719" s="2"/>
      <c r="Z719" s="126"/>
    </row>
    <row r="720" spans="3:26" s="1" customFormat="1" ht="12.75" customHeight="1">
      <c r="C720" s="4"/>
      <c r="F720" s="4"/>
      <c r="G720" s="4"/>
      <c r="I720" s="6"/>
      <c r="J720" s="387"/>
      <c r="K720" s="387"/>
      <c r="L720" s="387"/>
      <c r="M720" s="387"/>
      <c r="N720" s="387"/>
      <c r="O720" s="7"/>
      <c r="P720" s="137"/>
      <c r="Q720" s="137"/>
      <c r="R720" s="137"/>
      <c r="S720" s="127"/>
      <c r="T720" s="169"/>
      <c r="U720" s="169"/>
      <c r="V720" s="137"/>
      <c r="W720" s="3"/>
      <c r="X720" s="3"/>
      <c r="Y720" s="2"/>
      <c r="Z720" s="126"/>
    </row>
    <row r="721" spans="3:26" s="1" customFormat="1" ht="12.75" customHeight="1">
      <c r="C721" s="4"/>
      <c r="F721" s="4"/>
      <c r="G721" s="4"/>
      <c r="I721" s="6"/>
      <c r="J721" s="387"/>
      <c r="K721" s="387"/>
      <c r="L721" s="387"/>
      <c r="M721" s="387"/>
      <c r="N721" s="387"/>
      <c r="O721" s="7"/>
      <c r="P721" s="137"/>
      <c r="Q721" s="137"/>
      <c r="R721" s="137"/>
      <c r="S721" s="127"/>
      <c r="T721" s="169"/>
      <c r="U721" s="169"/>
      <c r="V721" s="137"/>
      <c r="W721" s="3"/>
      <c r="X721" s="3"/>
      <c r="Y721" s="2"/>
      <c r="Z721" s="126"/>
    </row>
    <row r="722" spans="3:26" s="1" customFormat="1" ht="12.75" customHeight="1">
      <c r="C722" s="4"/>
      <c r="F722" s="4"/>
      <c r="G722" s="4"/>
      <c r="I722" s="6"/>
      <c r="J722" s="387"/>
      <c r="K722" s="387"/>
      <c r="L722" s="387"/>
      <c r="M722" s="387"/>
      <c r="N722" s="387"/>
      <c r="O722" s="7"/>
      <c r="P722" s="137"/>
      <c r="Q722" s="137"/>
      <c r="R722" s="137"/>
      <c r="S722" s="127"/>
      <c r="T722" s="169"/>
      <c r="U722" s="169"/>
      <c r="V722" s="137"/>
      <c r="W722" s="3"/>
      <c r="X722" s="3"/>
      <c r="Y722" s="2"/>
      <c r="Z722" s="126"/>
    </row>
    <row r="723" spans="3:26" s="1" customFormat="1" ht="12.75" customHeight="1">
      <c r="C723" s="4"/>
      <c r="F723" s="4"/>
      <c r="G723" s="4"/>
      <c r="I723" s="6"/>
      <c r="J723" s="387"/>
      <c r="K723" s="387"/>
      <c r="L723" s="387"/>
      <c r="M723" s="387"/>
      <c r="N723" s="387"/>
      <c r="O723" s="7"/>
      <c r="P723" s="137"/>
      <c r="Q723" s="137"/>
      <c r="R723" s="137"/>
      <c r="S723" s="127"/>
      <c r="T723" s="169"/>
      <c r="U723" s="169"/>
      <c r="V723" s="137"/>
      <c r="W723" s="3"/>
      <c r="X723" s="3"/>
      <c r="Y723" s="2"/>
      <c r="Z723" s="126"/>
    </row>
    <row r="724" spans="3:26" s="1" customFormat="1" ht="12.75" customHeight="1">
      <c r="C724" s="4"/>
      <c r="F724" s="4"/>
      <c r="G724" s="4"/>
      <c r="I724" s="6"/>
      <c r="J724" s="387"/>
      <c r="K724" s="387"/>
      <c r="L724" s="387"/>
      <c r="M724" s="387"/>
      <c r="N724" s="387"/>
      <c r="O724" s="7"/>
      <c r="P724" s="137"/>
      <c r="Q724" s="137"/>
      <c r="R724" s="137"/>
      <c r="S724" s="127"/>
      <c r="T724" s="169"/>
      <c r="U724" s="169"/>
      <c r="V724" s="137"/>
      <c r="W724" s="3"/>
      <c r="X724" s="3"/>
      <c r="Y724" s="2"/>
      <c r="Z724" s="126"/>
    </row>
    <row r="725" spans="3:26" s="1" customFormat="1" ht="12.75" customHeight="1">
      <c r="C725" s="4"/>
      <c r="F725" s="4"/>
      <c r="G725" s="4"/>
      <c r="I725" s="6"/>
      <c r="J725" s="387"/>
      <c r="K725" s="387"/>
      <c r="L725" s="387"/>
      <c r="M725" s="387"/>
      <c r="N725" s="387"/>
      <c r="O725" s="7"/>
      <c r="P725" s="137"/>
      <c r="Q725" s="137"/>
      <c r="R725" s="137"/>
      <c r="S725" s="127"/>
      <c r="T725" s="169"/>
      <c r="U725" s="169"/>
      <c r="V725" s="137"/>
      <c r="W725" s="3"/>
      <c r="X725" s="3"/>
      <c r="Y725" s="2"/>
      <c r="Z725" s="126"/>
    </row>
    <row r="726" spans="3:26" s="1" customFormat="1" ht="12.75" customHeight="1">
      <c r="C726" s="4"/>
      <c r="F726" s="4"/>
      <c r="G726" s="4"/>
      <c r="I726" s="6"/>
      <c r="J726" s="387"/>
      <c r="K726" s="387"/>
      <c r="L726" s="387"/>
      <c r="M726" s="387"/>
      <c r="N726" s="387"/>
      <c r="O726" s="7"/>
      <c r="P726" s="137"/>
      <c r="Q726" s="137"/>
      <c r="R726" s="137"/>
      <c r="S726" s="127"/>
      <c r="T726" s="169"/>
      <c r="U726" s="169"/>
      <c r="V726" s="137"/>
      <c r="W726" s="3"/>
      <c r="X726" s="3"/>
      <c r="Y726" s="2"/>
      <c r="Z726" s="126"/>
    </row>
    <row r="727" spans="3:26" s="1" customFormat="1" ht="12.75" customHeight="1">
      <c r="C727" s="4"/>
      <c r="F727" s="4"/>
      <c r="G727" s="4"/>
      <c r="I727" s="6"/>
      <c r="J727" s="387"/>
      <c r="K727" s="387"/>
      <c r="L727" s="387"/>
      <c r="M727" s="387"/>
      <c r="N727" s="387"/>
      <c r="O727" s="7"/>
      <c r="P727" s="137"/>
      <c r="Q727" s="137"/>
      <c r="R727" s="137"/>
      <c r="S727" s="127"/>
      <c r="T727" s="169"/>
      <c r="U727" s="169"/>
      <c r="V727" s="137"/>
      <c r="W727" s="3"/>
      <c r="X727" s="3"/>
      <c r="Y727" s="2"/>
      <c r="Z727" s="126"/>
    </row>
    <row r="728" spans="3:26" s="1" customFormat="1" ht="12.75" customHeight="1">
      <c r="C728" s="4"/>
      <c r="F728" s="4"/>
      <c r="G728" s="4"/>
      <c r="I728" s="6"/>
      <c r="J728" s="387"/>
      <c r="K728" s="387"/>
      <c r="L728" s="387"/>
      <c r="M728" s="387"/>
      <c r="N728" s="387"/>
      <c r="O728" s="7"/>
      <c r="P728" s="137"/>
      <c r="Q728" s="137"/>
      <c r="R728" s="137"/>
      <c r="S728" s="127"/>
      <c r="T728" s="169"/>
      <c r="U728" s="169"/>
      <c r="V728" s="137"/>
      <c r="W728" s="3"/>
      <c r="X728" s="3"/>
      <c r="Y728" s="2"/>
      <c r="Z728" s="126"/>
    </row>
    <row r="729" spans="3:26" s="1" customFormat="1" ht="12.75" customHeight="1">
      <c r="C729" s="4"/>
      <c r="F729" s="4"/>
      <c r="G729" s="4"/>
      <c r="I729" s="6"/>
      <c r="J729" s="387"/>
      <c r="K729" s="387"/>
      <c r="L729" s="387"/>
      <c r="M729" s="387"/>
      <c r="N729" s="387"/>
      <c r="O729" s="7"/>
      <c r="P729" s="137"/>
      <c r="Q729" s="137"/>
      <c r="R729" s="137"/>
      <c r="S729" s="127"/>
      <c r="T729" s="169"/>
      <c r="U729" s="169"/>
      <c r="V729" s="137"/>
      <c r="W729" s="3"/>
      <c r="X729" s="3"/>
      <c r="Y729" s="2"/>
      <c r="Z729" s="126"/>
    </row>
    <row r="730" spans="3:26" s="1" customFormat="1" ht="12.75" customHeight="1">
      <c r="C730" s="4"/>
      <c r="F730" s="4"/>
      <c r="G730" s="4"/>
      <c r="I730" s="6"/>
      <c r="J730" s="387"/>
      <c r="K730" s="387"/>
      <c r="L730" s="387"/>
      <c r="M730" s="387"/>
      <c r="N730" s="387"/>
      <c r="O730" s="7"/>
      <c r="P730" s="137"/>
      <c r="Q730" s="137"/>
      <c r="R730" s="137"/>
      <c r="S730" s="127"/>
      <c r="T730" s="169"/>
      <c r="U730" s="169"/>
      <c r="V730" s="137"/>
      <c r="W730" s="3"/>
      <c r="X730" s="3"/>
      <c r="Y730" s="2"/>
      <c r="Z730" s="126"/>
    </row>
    <row r="731" spans="3:26" s="1" customFormat="1" ht="12.75" customHeight="1">
      <c r="C731" s="4"/>
      <c r="F731" s="4"/>
      <c r="G731" s="4"/>
      <c r="I731" s="6"/>
      <c r="J731" s="387"/>
      <c r="K731" s="387"/>
      <c r="L731" s="387"/>
      <c r="M731" s="387"/>
      <c r="N731" s="387"/>
      <c r="O731" s="7"/>
      <c r="P731" s="137"/>
      <c r="Q731" s="137"/>
      <c r="R731" s="137"/>
      <c r="S731" s="127"/>
      <c r="T731" s="169"/>
      <c r="U731" s="169"/>
      <c r="V731" s="137"/>
      <c r="W731" s="3"/>
      <c r="X731" s="3"/>
      <c r="Y731" s="2"/>
      <c r="Z731" s="126"/>
    </row>
    <row r="732" spans="3:26" s="1" customFormat="1" ht="12.75" customHeight="1">
      <c r="C732" s="4"/>
      <c r="F732" s="4"/>
      <c r="G732" s="4"/>
      <c r="I732" s="6"/>
      <c r="J732" s="387"/>
      <c r="K732" s="387"/>
      <c r="L732" s="387"/>
      <c r="M732" s="387"/>
      <c r="N732" s="387"/>
      <c r="O732" s="7"/>
      <c r="P732" s="137"/>
      <c r="Q732" s="137"/>
      <c r="R732" s="137"/>
      <c r="S732" s="127"/>
      <c r="T732" s="169"/>
      <c r="U732" s="169"/>
      <c r="V732" s="137"/>
      <c r="W732" s="3"/>
      <c r="X732" s="3"/>
      <c r="Y732" s="2"/>
      <c r="Z732" s="126"/>
    </row>
    <row r="733" spans="3:26" s="1" customFormat="1" ht="12.75" customHeight="1">
      <c r="C733" s="4"/>
      <c r="F733" s="4"/>
      <c r="G733" s="4"/>
      <c r="I733" s="6"/>
      <c r="J733" s="387"/>
      <c r="K733" s="387"/>
      <c r="L733" s="387"/>
      <c r="M733" s="387"/>
      <c r="N733" s="387"/>
      <c r="O733" s="7"/>
      <c r="P733" s="137"/>
      <c r="Q733" s="137"/>
      <c r="R733" s="137"/>
      <c r="S733" s="127"/>
      <c r="T733" s="169"/>
      <c r="U733" s="169"/>
      <c r="V733" s="137"/>
      <c r="W733" s="3"/>
      <c r="X733" s="3"/>
      <c r="Y733" s="2"/>
      <c r="Z733" s="126"/>
    </row>
    <row r="734" spans="3:26" s="1" customFormat="1" ht="12.75" customHeight="1">
      <c r="C734" s="4"/>
      <c r="F734" s="4"/>
      <c r="G734" s="4"/>
      <c r="I734" s="6"/>
      <c r="J734" s="387"/>
      <c r="K734" s="387"/>
      <c r="L734" s="387"/>
      <c r="M734" s="387"/>
      <c r="N734" s="387"/>
      <c r="O734" s="7"/>
      <c r="P734" s="137"/>
      <c r="Q734" s="137"/>
      <c r="R734" s="137"/>
      <c r="S734" s="127"/>
      <c r="T734" s="169"/>
      <c r="U734" s="169"/>
      <c r="V734" s="137"/>
      <c r="W734" s="3"/>
      <c r="X734" s="3"/>
      <c r="Y734" s="2"/>
      <c r="Z734" s="126"/>
    </row>
    <row r="735" spans="3:26" s="1" customFormat="1" ht="12.75" customHeight="1">
      <c r="C735" s="4"/>
      <c r="F735" s="4"/>
      <c r="G735" s="4"/>
      <c r="I735" s="6"/>
      <c r="J735" s="387"/>
      <c r="K735" s="387"/>
      <c r="L735" s="387"/>
      <c r="M735" s="387"/>
      <c r="N735" s="387"/>
      <c r="O735" s="7"/>
      <c r="P735" s="137"/>
      <c r="Q735" s="137"/>
      <c r="R735" s="137"/>
      <c r="S735" s="127"/>
      <c r="T735" s="169"/>
      <c r="U735" s="169"/>
      <c r="V735" s="137"/>
      <c r="W735" s="3"/>
      <c r="X735" s="3"/>
      <c r="Y735" s="2"/>
      <c r="Z735" s="126"/>
    </row>
    <row r="736" spans="3:26" s="1" customFormat="1" ht="12.75" customHeight="1">
      <c r="C736" s="4"/>
      <c r="F736" s="4"/>
      <c r="G736" s="4"/>
      <c r="I736" s="6"/>
      <c r="J736" s="387"/>
      <c r="K736" s="387"/>
      <c r="L736" s="387"/>
      <c r="M736" s="387"/>
      <c r="N736" s="387"/>
      <c r="O736" s="7"/>
      <c r="P736" s="137"/>
      <c r="Q736" s="137"/>
      <c r="R736" s="137"/>
      <c r="S736" s="127"/>
      <c r="T736" s="169"/>
      <c r="U736" s="169"/>
      <c r="V736" s="137"/>
      <c r="W736" s="3"/>
      <c r="X736" s="3"/>
      <c r="Y736" s="2"/>
      <c r="Z736" s="126"/>
    </row>
    <row r="737" spans="3:26" s="1" customFormat="1" ht="12.75" customHeight="1">
      <c r="C737" s="4"/>
      <c r="F737" s="4"/>
      <c r="G737" s="4"/>
      <c r="I737" s="6"/>
      <c r="J737" s="387"/>
      <c r="K737" s="387"/>
      <c r="L737" s="387"/>
      <c r="M737" s="387"/>
      <c r="N737" s="387"/>
      <c r="O737" s="7"/>
      <c r="P737" s="137"/>
      <c r="Q737" s="137"/>
      <c r="R737" s="137"/>
      <c r="S737" s="127"/>
      <c r="T737" s="169"/>
      <c r="U737" s="169"/>
      <c r="V737" s="137"/>
      <c r="W737" s="3"/>
      <c r="X737" s="3"/>
      <c r="Y737" s="2"/>
      <c r="Z737" s="126"/>
    </row>
    <row r="738" spans="3:26" s="1" customFormat="1" ht="12.75" customHeight="1">
      <c r="C738" s="4"/>
      <c r="F738" s="4"/>
      <c r="G738" s="4"/>
      <c r="I738" s="6"/>
      <c r="J738" s="387"/>
      <c r="K738" s="387"/>
      <c r="L738" s="387"/>
      <c r="M738" s="387"/>
      <c r="N738" s="387"/>
      <c r="O738" s="7"/>
      <c r="P738" s="137"/>
      <c r="Q738" s="137"/>
      <c r="R738" s="137"/>
      <c r="S738" s="127"/>
      <c r="T738" s="169"/>
      <c r="U738" s="169"/>
      <c r="V738" s="137"/>
      <c r="W738" s="3"/>
      <c r="X738" s="3"/>
      <c r="Y738" s="2"/>
      <c r="Z738" s="126"/>
    </row>
    <row r="739" spans="3:26" s="1" customFormat="1" ht="12.75" customHeight="1">
      <c r="C739" s="4"/>
      <c r="F739" s="4"/>
      <c r="G739" s="4"/>
      <c r="I739" s="6"/>
      <c r="J739" s="387"/>
      <c r="K739" s="387"/>
      <c r="L739" s="387"/>
      <c r="M739" s="387"/>
      <c r="N739" s="387"/>
      <c r="O739" s="7"/>
      <c r="P739" s="137"/>
      <c r="Q739" s="137"/>
      <c r="R739" s="137"/>
      <c r="S739" s="127"/>
      <c r="T739" s="169"/>
      <c r="U739" s="169"/>
      <c r="V739" s="137"/>
      <c r="W739" s="3"/>
      <c r="X739" s="3"/>
      <c r="Y739" s="2"/>
      <c r="Z739" s="126"/>
    </row>
    <row r="740" spans="3:26" s="1" customFormat="1" ht="12.75" customHeight="1">
      <c r="C740" s="4"/>
      <c r="F740" s="4"/>
      <c r="G740" s="4"/>
      <c r="I740" s="6"/>
      <c r="J740" s="387"/>
      <c r="K740" s="387"/>
      <c r="L740" s="387"/>
      <c r="M740" s="387"/>
      <c r="N740" s="387"/>
      <c r="O740" s="7"/>
      <c r="P740" s="137"/>
      <c r="Q740" s="137"/>
      <c r="R740" s="137"/>
      <c r="S740" s="127"/>
      <c r="T740" s="169"/>
      <c r="U740" s="169"/>
      <c r="V740" s="137"/>
      <c r="W740" s="3"/>
      <c r="X740" s="3"/>
      <c r="Y740" s="2"/>
      <c r="Z740" s="126"/>
    </row>
    <row r="741" spans="3:26" s="1" customFormat="1" ht="12.75" customHeight="1">
      <c r="C741" s="4"/>
      <c r="F741" s="4"/>
      <c r="G741" s="4"/>
      <c r="I741" s="6"/>
      <c r="J741" s="387"/>
      <c r="K741" s="387"/>
      <c r="L741" s="387"/>
      <c r="M741" s="387"/>
      <c r="N741" s="387"/>
      <c r="O741" s="7"/>
      <c r="P741" s="137"/>
      <c r="Q741" s="137"/>
      <c r="R741" s="137"/>
      <c r="S741" s="127"/>
      <c r="T741" s="169"/>
      <c r="U741" s="169"/>
      <c r="V741" s="137"/>
      <c r="W741" s="3"/>
      <c r="X741" s="3"/>
      <c r="Y741" s="2"/>
      <c r="Z741" s="126"/>
    </row>
    <row r="742" spans="3:26" s="1" customFormat="1" ht="12.75" customHeight="1">
      <c r="C742" s="4"/>
      <c r="F742" s="4"/>
      <c r="G742" s="4"/>
      <c r="I742" s="6"/>
      <c r="J742" s="387"/>
      <c r="K742" s="387"/>
      <c r="L742" s="387"/>
      <c r="M742" s="387"/>
      <c r="N742" s="387"/>
      <c r="O742" s="7"/>
      <c r="P742" s="137"/>
      <c r="Q742" s="137"/>
      <c r="R742" s="137"/>
      <c r="S742" s="127"/>
      <c r="T742" s="169"/>
      <c r="U742" s="169"/>
      <c r="V742" s="137"/>
      <c r="W742" s="3"/>
      <c r="X742" s="3"/>
      <c r="Y742" s="2"/>
      <c r="Z742" s="126"/>
    </row>
    <row r="743" spans="3:26" s="1" customFormat="1" ht="12.75" customHeight="1">
      <c r="C743" s="4"/>
      <c r="F743" s="4"/>
      <c r="G743" s="4"/>
      <c r="I743" s="6"/>
      <c r="J743" s="387"/>
      <c r="K743" s="387"/>
      <c r="L743" s="387"/>
      <c r="M743" s="387"/>
      <c r="N743" s="387"/>
      <c r="O743" s="7"/>
      <c r="P743" s="137"/>
      <c r="Q743" s="137"/>
      <c r="R743" s="137"/>
      <c r="S743" s="127"/>
      <c r="T743" s="169"/>
      <c r="U743" s="169"/>
      <c r="V743" s="137"/>
      <c r="W743" s="3"/>
      <c r="X743" s="3"/>
      <c r="Y743" s="2"/>
      <c r="Z743" s="126"/>
    </row>
    <row r="744" spans="3:26" s="1" customFormat="1" ht="12.75" customHeight="1">
      <c r="C744" s="4"/>
      <c r="F744" s="4"/>
      <c r="G744" s="4"/>
      <c r="I744" s="6"/>
      <c r="J744" s="387"/>
      <c r="K744" s="387"/>
      <c r="L744" s="387"/>
      <c r="M744" s="387"/>
      <c r="N744" s="387"/>
      <c r="O744" s="7"/>
      <c r="P744" s="137"/>
      <c r="Q744" s="137"/>
      <c r="R744" s="137"/>
      <c r="S744" s="127"/>
      <c r="T744" s="169"/>
      <c r="U744" s="169"/>
      <c r="V744" s="137"/>
      <c r="W744" s="3"/>
      <c r="X744" s="3"/>
      <c r="Y744" s="2"/>
      <c r="Z744" s="126"/>
    </row>
    <row r="745" spans="3:26" s="1" customFormat="1" ht="12.75" customHeight="1">
      <c r="C745" s="4"/>
      <c r="F745" s="4"/>
      <c r="G745" s="4"/>
      <c r="I745" s="6"/>
      <c r="J745" s="387"/>
      <c r="K745" s="387"/>
      <c r="L745" s="387"/>
      <c r="M745" s="387"/>
      <c r="N745" s="387"/>
      <c r="O745" s="7"/>
      <c r="P745" s="137"/>
      <c r="Q745" s="137"/>
      <c r="R745" s="137"/>
      <c r="S745" s="127"/>
      <c r="T745" s="169"/>
      <c r="U745" s="169"/>
      <c r="V745" s="137"/>
      <c r="W745" s="3"/>
      <c r="X745" s="3"/>
      <c r="Y745" s="2"/>
      <c r="Z745" s="126"/>
    </row>
    <row r="746" spans="3:26" s="1" customFormat="1" ht="12.75" customHeight="1">
      <c r="C746" s="4"/>
      <c r="F746" s="4"/>
      <c r="G746" s="4"/>
      <c r="I746" s="6"/>
      <c r="J746" s="387"/>
      <c r="K746" s="387"/>
      <c r="L746" s="387"/>
      <c r="M746" s="387"/>
      <c r="N746" s="387"/>
      <c r="O746" s="7"/>
      <c r="P746" s="137"/>
      <c r="Q746" s="137"/>
      <c r="R746" s="137"/>
      <c r="S746" s="127"/>
      <c r="T746" s="169"/>
      <c r="U746" s="169"/>
      <c r="V746" s="137"/>
      <c r="W746" s="3"/>
      <c r="X746" s="3"/>
      <c r="Y746" s="2"/>
      <c r="Z746" s="126"/>
    </row>
    <row r="747" spans="3:26" s="1" customFormat="1" ht="12.75" customHeight="1">
      <c r="C747" s="4"/>
      <c r="F747" s="4"/>
      <c r="G747" s="4"/>
      <c r="I747" s="6"/>
      <c r="J747" s="387"/>
      <c r="K747" s="387"/>
      <c r="L747" s="387"/>
      <c r="M747" s="387"/>
      <c r="N747" s="387"/>
      <c r="O747" s="7"/>
      <c r="P747" s="137"/>
      <c r="Q747" s="137"/>
      <c r="R747" s="137"/>
      <c r="S747" s="127"/>
      <c r="T747" s="169"/>
      <c r="U747" s="169"/>
      <c r="V747" s="137"/>
      <c r="W747" s="3"/>
      <c r="X747" s="3"/>
      <c r="Y747" s="2"/>
      <c r="Z747" s="126"/>
    </row>
    <row r="748" spans="3:26" s="1" customFormat="1" ht="12.75" customHeight="1">
      <c r="C748" s="4"/>
      <c r="F748" s="4"/>
      <c r="G748" s="4"/>
      <c r="I748" s="6"/>
      <c r="J748" s="387"/>
      <c r="K748" s="387"/>
      <c r="L748" s="387"/>
      <c r="M748" s="387"/>
      <c r="N748" s="387"/>
      <c r="O748" s="7"/>
      <c r="P748" s="137"/>
      <c r="Q748" s="137"/>
      <c r="R748" s="137"/>
      <c r="S748" s="127"/>
      <c r="T748" s="169"/>
      <c r="U748" s="169"/>
      <c r="V748" s="137"/>
      <c r="W748" s="3"/>
      <c r="X748" s="3"/>
      <c r="Y748" s="2"/>
      <c r="Z748" s="126"/>
    </row>
    <row r="749" spans="3:26" s="1" customFormat="1" ht="12.75" customHeight="1">
      <c r="C749" s="4"/>
      <c r="F749" s="4"/>
      <c r="G749" s="4"/>
      <c r="I749" s="6"/>
      <c r="J749" s="387"/>
      <c r="K749" s="387"/>
      <c r="L749" s="387"/>
      <c r="M749" s="387"/>
      <c r="N749" s="387"/>
      <c r="O749" s="7"/>
      <c r="P749" s="137"/>
      <c r="Q749" s="137"/>
      <c r="R749" s="137"/>
      <c r="S749" s="127"/>
      <c r="T749" s="169"/>
      <c r="U749" s="169"/>
      <c r="V749" s="137"/>
      <c r="W749" s="3"/>
      <c r="X749" s="3"/>
      <c r="Y749" s="2"/>
      <c r="Z749" s="126"/>
    </row>
    <row r="750" spans="3:26" s="1" customFormat="1" ht="12.75" customHeight="1">
      <c r="C750" s="4"/>
      <c r="F750" s="4"/>
      <c r="G750" s="4"/>
      <c r="I750" s="6"/>
      <c r="J750" s="387"/>
      <c r="K750" s="387"/>
      <c r="L750" s="387"/>
      <c r="M750" s="387"/>
      <c r="N750" s="387"/>
      <c r="O750" s="7"/>
      <c r="P750" s="137"/>
      <c r="Q750" s="137"/>
      <c r="R750" s="137"/>
      <c r="S750" s="127"/>
      <c r="T750" s="169"/>
      <c r="U750" s="169"/>
      <c r="V750" s="137"/>
      <c r="W750" s="3"/>
      <c r="X750" s="3"/>
      <c r="Y750" s="2"/>
      <c r="Z750" s="126"/>
    </row>
    <row r="751" spans="3:26" s="1" customFormat="1" ht="12.75" customHeight="1">
      <c r="C751" s="4"/>
      <c r="F751" s="4"/>
      <c r="G751" s="4"/>
      <c r="I751" s="6"/>
      <c r="J751" s="387"/>
      <c r="K751" s="387"/>
      <c r="L751" s="387"/>
      <c r="M751" s="387"/>
      <c r="N751" s="387"/>
      <c r="O751" s="7"/>
      <c r="P751" s="137"/>
      <c r="Q751" s="137"/>
      <c r="R751" s="137"/>
      <c r="S751" s="127"/>
      <c r="T751" s="169"/>
      <c r="U751" s="169"/>
      <c r="V751" s="137"/>
      <c r="W751" s="3"/>
      <c r="X751" s="3"/>
      <c r="Y751" s="2"/>
      <c r="Z751" s="126"/>
    </row>
    <row r="752" spans="3:26" s="1" customFormat="1" ht="12.75" customHeight="1">
      <c r="C752" s="4"/>
      <c r="F752" s="4"/>
      <c r="G752" s="4"/>
      <c r="I752" s="6"/>
      <c r="J752" s="387"/>
      <c r="K752" s="387"/>
      <c r="L752" s="387"/>
      <c r="M752" s="387"/>
      <c r="N752" s="387"/>
      <c r="O752" s="7"/>
      <c r="P752" s="137"/>
      <c r="Q752" s="137"/>
      <c r="R752" s="137"/>
      <c r="S752" s="127"/>
      <c r="T752" s="169"/>
      <c r="U752" s="169"/>
      <c r="V752" s="137"/>
      <c r="W752" s="3"/>
      <c r="X752" s="3"/>
      <c r="Y752" s="2"/>
      <c r="Z752" s="126"/>
    </row>
    <row r="753" spans="3:26" s="1" customFormat="1" ht="12.75" customHeight="1">
      <c r="C753" s="4"/>
      <c r="F753" s="4"/>
      <c r="G753" s="4"/>
      <c r="I753" s="6"/>
      <c r="J753" s="387"/>
      <c r="K753" s="387"/>
      <c r="L753" s="387"/>
      <c r="M753" s="387"/>
      <c r="N753" s="387"/>
      <c r="O753" s="7"/>
      <c r="P753" s="137"/>
      <c r="Q753" s="137"/>
      <c r="R753" s="137"/>
      <c r="S753" s="127"/>
      <c r="T753" s="169"/>
      <c r="U753" s="169"/>
      <c r="V753" s="137"/>
      <c r="W753" s="3"/>
      <c r="X753" s="3"/>
      <c r="Y753" s="2"/>
      <c r="Z753" s="126"/>
    </row>
    <row r="754" spans="3:26" s="1" customFormat="1" ht="12.75" customHeight="1">
      <c r="C754" s="4"/>
      <c r="F754" s="4"/>
      <c r="G754" s="4"/>
      <c r="I754" s="6"/>
      <c r="J754" s="387"/>
      <c r="K754" s="387"/>
      <c r="L754" s="387"/>
      <c r="M754" s="387"/>
      <c r="N754" s="387"/>
      <c r="O754" s="7"/>
      <c r="P754" s="137"/>
      <c r="Q754" s="137"/>
      <c r="R754" s="137"/>
      <c r="S754" s="127"/>
      <c r="T754" s="169"/>
      <c r="U754" s="169"/>
      <c r="V754" s="137"/>
      <c r="W754" s="3"/>
      <c r="X754" s="3"/>
      <c r="Y754" s="2"/>
      <c r="Z754" s="126"/>
    </row>
    <row r="755" spans="3:26" s="1" customFormat="1" ht="12.75" customHeight="1">
      <c r="C755" s="4"/>
      <c r="F755" s="4"/>
      <c r="G755" s="4"/>
      <c r="I755" s="6"/>
      <c r="J755" s="387"/>
      <c r="K755" s="387"/>
      <c r="L755" s="387"/>
      <c r="M755" s="387"/>
      <c r="N755" s="384"/>
      <c r="O755" s="7"/>
      <c r="P755" s="137"/>
      <c r="Q755" s="137"/>
      <c r="R755" s="137"/>
      <c r="S755" s="127"/>
      <c r="T755" s="169"/>
      <c r="U755" s="169"/>
      <c r="V755" s="137"/>
      <c r="W755" s="3"/>
      <c r="X755" s="3"/>
      <c r="Y755" s="2"/>
      <c r="Z755" s="126"/>
    </row>
    <row r="756" spans="3:26" s="1" customFormat="1" ht="12.75" customHeight="1">
      <c r="C756" s="4"/>
      <c r="F756" s="4"/>
      <c r="G756" s="4"/>
      <c r="I756" s="6"/>
      <c r="J756" s="384"/>
      <c r="K756" s="384"/>
      <c r="L756" s="384"/>
      <c r="M756" s="384"/>
      <c r="N756" s="384"/>
      <c r="O756" s="7"/>
      <c r="P756" s="137"/>
      <c r="Q756" s="137"/>
      <c r="R756" s="137"/>
      <c r="S756" s="127"/>
      <c r="T756" s="169"/>
      <c r="U756" s="169"/>
      <c r="V756" s="137"/>
      <c r="W756" s="3"/>
      <c r="X756" s="3"/>
      <c r="Y756" s="2"/>
      <c r="Z756" s="126"/>
    </row>
    <row r="757" spans="3:26" s="1" customFormat="1" ht="12.75" customHeight="1">
      <c r="C757" s="4"/>
      <c r="F757" s="4"/>
      <c r="G757" s="4"/>
      <c r="I757" s="6"/>
      <c r="J757" s="384"/>
      <c r="K757" s="384"/>
      <c r="L757" s="384"/>
      <c r="M757" s="384"/>
      <c r="N757" s="384"/>
      <c r="O757" s="7"/>
      <c r="P757" s="137"/>
      <c r="Q757" s="137"/>
      <c r="R757" s="137"/>
      <c r="S757" s="127"/>
      <c r="T757" s="169"/>
      <c r="U757" s="169"/>
      <c r="V757" s="137"/>
      <c r="W757" s="3"/>
      <c r="X757" s="3"/>
      <c r="Y757" s="2"/>
      <c r="Z757" s="126"/>
    </row>
    <row r="760" spans="3:26" s="1" customFormat="1" ht="12.75" customHeight="1">
      <c r="C760" s="4"/>
      <c r="E760" s="8"/>
      <c r="F760" s="4"/>
      <c r="G760" s="4"/>
      <c r="I760" s="8"/>
      <c r="J760" s="384"/>
      <c r="K760" s="384"/>
      <c r="L760" s="384"/>
      <c r="M760" s="384"/>
      <c r="N760" s="387"/>
      <c r="O760" s="7"/>
      <c r="P760" s="137"/>
      <c r="Q760" s="137"/>
      <c r="R760" s="134"/>
      <c r="S760" s="126"/>
      <c r="T760" s="169"/>
      <c r="U760" s="169"/>
      <c r="V760" s="137"/>
      <c r="W760" s="3"/>
      <c r="X760" s="3"/>
      <c r="Y760" s="2"/>
      <c r="Z760" s="126"/>
    </row>
    <row r="761" spans="3:26" s="1" customFormat="1" ht="12.75" customHeight="1">
      <c r="C761" s="4"/>
      <c r="E761" s="8"/>
      <c r="F761" s="4"/>
      <c r="G761" s="4"/>
      <c r="I761" s="8"/>
      <c r="J761" s="387"/>
      <c r="K761" s="387"/>
      <c r="L761" s="387"/>
      <c r="M761" s="387"/>
      <c r="N761" s="387"/>
      <c r="O761" s="7"/>
      <c r="P761" s="137"/>
      <c r="Q761" s="137"/>
      <c r="R761" s="134"/>
      <c r="S761" s="126"/>
      <c r="T761" s="169"/>
      <c r="U761" s="169"/>
      <c r="V761" s="137"/>
      <c r="W761" s="3"/>
      <c r="X761" s="3"/>
      <c r="Y761" s="2"/>
      <c r="Z761" s="126"/>
    </row>
    <row r="762" spans="3:26" s="1" customFormat="1" ht="12.75" customHeight="1">
      <c r="C762" s="4"/>
      <c r="E762" s="8"/>
      <c r="F762" s="4"/>
      <c r="G762" s="4"/>
      <c r="I762" s="8"/>
      <c r="J762" s="387"/>
      <c r="K762" s="387"/>
      <c r="L762" s="387"/>
      <c r="M762" s="387"/>
      <c r="N762" s="387"/>
      <c r="O762" s="7"/>
      <c r="P762" s="137"/>
      <c r="Q762" s="137"/>
      <c r="R762" s="134"/>
      <c r="S762" s="126"/>
      <c r="T762" s="169"/>
      <c r="U762" s="169"/>
      <c r="V762" s="137"/>
      <c r="W762" s="3"/>
      <c r="X762" s="3"/>
      <c r="Y762" s="2"/>
      <c r="Z762" s="126"/>
    </row>
    <row r="763" spans="3:26" s="1" customFormat="1" ht="12.75" customHeight="1">
      <c r="C763" s="4"/>
      <c r="F763" s="4"/>
      <c r="G763" s="4"/>
      <c r="I763" s="6"/>
      <c r="J763" s="387"/>
      <c r="K763" s="387"/>
      <c r="L763" s="387"/>
      <c r="M763" s="387"/>
      <c r="N763" s="387"/>
      <c r="O763" s="7"/>
      <c r="P763" s="137"/>
      <c r="Q763" s="137"/>
      <c r="R763" s="137"/>
      <c r="S763" s="127"/>
      <c r="T763" s="169"/>
      <c r="U763" s="169"/>
      <c r="V763" s="137"/>
      <c r="W763" s="3"/>
      <c r="X763" s="3"/>
      <c r="Y763" s="2"/>
      <c r="Z763" s="126"/>
    </row>
    <row r="764" spans="3:26" s="1" customFormat="1" ht="12.75" customHeight="1">
      <c r="C764" s="4"/>
      <c r="F764" s="4"/>
      <c r="G764" s="4"/>
      <c r="I764" s="6"/>
      <c r="J764" s="387"/>
      <c r="K764" s="387"/>
      <c r="L764" s="387"/>
      <c r="M764" s="387"/>
      <c r="N764" s="387"/>
      <c r="O764" s="7"/>
      <c r="P764" s="137"/>
      <c r="Q764" s="137"/>
      <c r="R764" s="137"/>
      <c r="S764" s="127"/>
      <c r="T764" s="169"/>
      <c r="U764" s="169"/>
      <c r="V764" s="137"/>
      <c r="W764" s="3"/>
      <c r="X764" s="3"/>
      <c r="Y764" s="2"/>
      <c r="Z764" s="126"/>
    </row>
    <row r="765" spans="3:26" s="1" customFormat="1" ht="12.75" customHeight="1">
      <c r="C765" s="4"/>
      <c r="F765" s="4"/>
      <c r="G765" s="4"/>
      <c r="I765" s="6"/>
      <c r="J765" s="387"/>
      <c r="K765" s="387"/>
      <c r="L765" s="387"/>
      <c r="M765" s="387"/>
      <c r="N765" s="387"/>
      <c r="O765" s="7"/>
      <c r="P765" s="137"/>
      <c r="Q765" s="137"/>
      <c r="R765" s="137"/>
      <c r="S765" s="127"/>
      <c r="T765" s="169"/>
      <c r="U765" s="169"/>
      <c r="V765" s="137"/>
      <c r="W765" s="3"/>
      <c r="X765" s="3"/>
      <c r="Y765" s="2"/>
      <c r="Z765" s="126"/>
    </row>
    <row r="766" spans="3:26" s="1" customFormat="1" ht="12.75" customHeight="1">
      <c r="C766" s="4"/>
      <c r="F766" s="4"/>
      <c r="G766" s="4"/>
      <c r="I766" s="6"/>
      <c r="J766" s="387"/>
      <c r="K766" s="387"/>
      <c r="L766" s="387"/>
      <c r="M766" s="387"/>
      <c r="N766" s="384"/>
      <c r="O766" s="7"/>
      <c r="P766" s="137"/>
      <c r="Q766" s="137"/>
      <c r="R766" s="137"/>
      <c r="S766" s="127"/>
      <c r="T766" s="169"/>
      <c r="U766" s="169"/>
      <c r="V766" s="137"/>
      <c r="W766" s="3"/>
      <c r="X766" s="3"/>
      <c r="Y766" s="2"/>
      <c r="Z766" s="126"/>
    </row>
    <row r="767" spans="3:26" s="1" customFormat="1" ht="12.75" customHeight="1">
      <c r="C767" s="4"/>
      <c r="F767" s="4"/>
      <c r="G767" s="4"/>
      <c r="I767" s="6"/>
      <c r="J767" s="384"/>
      <c r="K767" s="384"/>
      <c r="L767" s="384"/>
      <c r="M767" s="384"/>
      <c r="N767" s="384"/>
      <c r="O767" s="7"/>
      <c r="P767" s="137"/>
      <c r="Q767" s="137"/>
      <c r="R767" s="137"/>
      <c r="S767" s="127"/>
      <c r="T767" s="169"/>
      <c r="U767" s="169"/>
      <c r="V767" s="137"/>
      <c r="W767" s="3"/>
      <c r="X767" s="3"/>
      <c r="Y767" s="2"/>
      <c r="Z767" s="126"/>
    </row>
    <row r="768" spans="3:26" s="1" customFormat="1" ht="12.75" customHeight="1">
      <c r="C768" s="4"/>
      <c r="F768" s="4"/>
      <c r="G768" s="4"/>
      <c r="I768" s="6"/>
      <c r="J768" s="384"/>
      <c r="K768" s="384"/>
      <c r="L768" s="384"/>
      <c r="M768" s="384"/>
      <c r="N768" s="384"/>
      <c r="O768" s="7"/>
      <c r="P768" s="137"/>
      <c r="Q768" s="137"/>
      <c r="R768" s="137"/>
      <c r="S768" s="127"/>
      <c r="T768" s="169"/>
      <c r="U768" s="169"/>
      <c r="V768" s="137"/>
      <c r="W768" s="3"/>
      <c r="X768" s="3"/>
      <c r="Y768" s="2"/>
      <c r="Z768" s="126"/>
    </row>
  </sheetData>
  <sheetProtection formatColumns="0" formatRows="0"/>
  <autoFilter ref="C1:AA580" xr:uid="{9626BD4D-C308-4B5D-928B-2405468D8CC5}"/>
  <phoneticPr fontId="19" type="noConversion"/>
  <conditionalFormatting sqref="F1:F1048576">
    <cfRule type="expression" dxfId="2" priority="4">
      <formula>"※"=$M1</formula>
    </cfRule>
  </conditionalFormatting>
  <conditionalFormatting sqref="P1:V1000 D1:E1000 G1:M573 G577:M1000 G574:L576">
    <cfRule type="expression" dxfId="1" priority="2">
      <formula>"AS"=MID($R1,1,2)</formula>
    </cfRule>
  </conditionalFormatting>
  <conditionalFormatting sqref="A2:B572">
    <cfRule type="expression" dxfId="0" priority="1">
      <formula>0=$A2</formula>
    </cfRule>
  </conditionalFormatting>
  <pageMargins left="0.70866141732283472" right="0.70866141732283472" top="0.74803149606299213" bottom="0.74803149606299213" header="0.31496062992125984" footer="0.31496062992125984"/>
  <pageSetup paperSize="9" scale="28" fitToHeight="0" orientation="landscape" r:id="rId1"/>
  <headerFooter>
    <oddFooter>&amp;C&amp;P</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4</vt:i4>
      </vt:variant>
    </vt:vector>
  </HeadingPairs>
  <TitlesOfParts>
    <vt:vector size="6" baseType="lpstr">
      <vt:lpstr>JP-PINT</vt:lpstr>
      <vt:lpstr>仕入明細</vt:lpstr>
      <vt:lpstr>'JP-PINT'!Print_Area</vt:lpstr>
      <vt:lpstr>仕入明細!Print_Area</vt:lpstr>
      <vt:lpstr>'JP-PINT'!Print_Titles</vt:lpstr>
      <vt:lpstr>仕入明細!Print_Titles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Nobuyuki SAMBUICHI</dc:creator>
  <cp:lastModifiedBy>Nobuyuki SAMBUICHI</cp:lastModifiedBy>
  <dcterms:created xsi:type="dcterms:W3CDTF">2025-10-28T23:49:38Z</dcterms:created>
  <dcterms:modified xsi:type="dcterms:W3CDTF">2025-10-31T01:27:22Z</dcterms:modified>
</cp:coreProperties>
</file>