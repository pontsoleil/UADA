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buy\GitHub\UADA\XBRL-GL-2026\xBRL-GL2.0_btx\"/>
    </mc:Choice>
  </mc:AlternateContent>
  <xr:revisionPtr revIDLastSave="0" documentId="13_ncr:9_{B786A9C8-A43F-4432-B38D-D09DE1FB4D85}" xr6:coauthVersionLast="47" xr6:coauthVersionMax="47" xr10:uidLastSave="{00000000-0000-0000-0000-000000000000}"/>
  <bookViews>
    <workbookView xWindow="-120" yWindow="-120" windowWidth="38640" windowHeight="21120" xr2:uid="{DFE50BE3-017B-4A3B-A1E8-475C19DE401F}"/>
  </bookViews>
  <sheets>
    <sheet name="vendor_invoices" sheetId="2" r:id="rId1"/>
    <sheet name="Transpose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1" i="2" l="1"/>
  <c r="AP12" i="2" s="1"/>
  <c r="AL10" i="2"/>
  <c r="AL9" i="2"/>
  <c r="L42" i="1"/>
  <c r="K42" i="1"/>
  <c r="J38" i="1"/>
  <c r="I38" i="1"/>
</calcChain>
</file>

<file path=xl/sharedStrings.xml><?xml version="1.0" encoding="utf-8"?>
<sst xmlns="http://schemas.openxmlformats.org/spreadsheetml/2006/main" count="248" uniqueCount="95">
  <si>
    <t>btx_businessTransactions</t>
  </si>
  <si>
    <t>bus_organizationIdentifiers</t>
  </si>
  <si>
    <t>btx_transactionHeader</t>
  </si>
  <si>
    <t>btx_headerIdentifierReference</t>
  </si>
  <si>
    <t>btx_headerTax</t>
  </si>
  <si>
    <t>btx_headerAmountStructure</t>
  </si>
  <si>
    <t>btx_transactionDetail</t>
  </si>
  <si>
    <t>bus_detailMeasurable</t>
  </si>
  <si>
    <t>cor_detailTax</t>
  </si>
  <si>
    <t>btx_detailAmountStructure</t>
  </si>
  <si>
    <t>cor_auditNumber</t>
  </si>
  <si>
    <t>cor_language</t>
  </si>
  <si>
    <t>cor_creationDate</t>
  </si>
  <si>
    <t>bus_creator</t>
  </si>
  <si>
    <t>cor_documentComment</t>
  </si>
  <si>
    <t>cor_periodCoveredStart</t>
  </si>
  <si>
    <t>cor_periodCoveredEnd</t>
  </si>
  <si>
    <t>bus_sourceApplication</t>
  </si>
  <si>
    <t>muc_defaultCurrency</t>
  </si>
  <si>
    <t>bus_organizationIdentifier</t>
  </si>
  <si>
    <t>bus_organizationDescription</t>
  </si>
  <si>
    <t>btx_headerDatePosted</t>
  </si>
  <si>
    <t>btx_headerEntryCreator</t>
  </si>
  <si>
    <t>btx_headerEntryDate</t>
  </si>
  <si>
    <t>btx_headerComment</t>
  </si>
  <si>
    <t>btx_headerEntryNumberCounter</t>
  </si>
  <si>
    <t>btx_headerDocumentReference</t>
  </si>
  <si>
    <t>btx_headerDocumentDate</t>
  </si>
  <si>
    <t>btx_headerReceivedDate</t>
  </si>
  <si>
    <t>btx_headerDocumentLocation</t>
  </si>
  <si>
    <t>btx_headerMaturityDateOrDateDue</t>
  </si>
  <si>
    <t>btx_headerPaymentTerms</t>
  </si>
  <si>
    <t>cor_headerIdentifierCode</t>
  </si>
  <si>
    <t>cor_headerIdentifierDescription</t>
  </si>
  <si>
    <t>cor_headerIdentifierType</t>
  </si>
  <si>
    <t>cor_headerTaxTableCode</t>
  </si>
  <si>
    <t>cor_headerAmountOfTaxes</t>
  </si>
  <si>
    <t>cor_headerBasisForTaxation</t>
  </si>
  <si>
    <t>cor_headerTaxPercentageRate</t>
  </si>
  <si>
    <t>cor_headerTaxCategory</t>
  </si>
  <si>
    <t>btx_headerAmount</t>
  </si>
  <si>
    <t>btx_headerAmountType</t>
  </si>
  <si>
    <t>btx_detailLineNumber</t>
  </si>
  <si>
    <t>btx_detailDescription</t>
  </si>
  <si>
    <t>bus_detailMeasurableCode</t>
  </si>
  <si>
    <t>bus_detailMeasurableIdentification</t>
  </si>
  <si>
    <t>bus_detailMeasurableDescription</t>
  </si>
  <si>
    <t>bus_detailMeasurableQuantity</t>
  </si>
  <si>
    <t>bus_detailMeasurableUnitOfMeasure</t>
  </si>
  <si>
    <t>bus_detailMeasurablePerUnitCostPrice</t>
  </si>
  <si>
    <t>cor_detailTaxTableCode</t>
  </si>
  <si>
    <t>cor_entryAmountOfTaxes</t>
  </si>
  <si>
    <t>cor_detailTaxPercentageRate</t>
  </si>
  <si>
    <t>cor_detailTaxCategory</t>
  </si>
  <si>
    <t>btx_detailAmount</t>
  </si>
  <si>
    <t>btx_detailAmountType</t>
  </si>
  <si>
    <t>cor_documentType</t>
  </si>
  <si>
    <t>other</t>
  </si>
  <si>
    <t>001</t>
  </si>
  <si>
    <t>iso639:en</t>
  </si>
  <si>
    <t>XBRL GL Working Group</t>
  </si>
  <si>
    <t>A best practice listing of invoices instance document</t>
  </si>
  <si>
    <t>XABRA</t>
  </si>
  <si>
    <t>iso4217:EUR</t>
  </si>
  <si>
    <t>ABC Company</t>
  </si>
  <si>
    <t>Company Name</t>
  </si>
  <si>
    <t>Otto Wellwood</t>
  </si>
  <si>
    <t>Invoice: #51029 Vendor: #1130</t>
  </si>
  <si>
    <t>Voucher#: 100900</t>
  </si>
  <si>
    <t>Fred's desk drawer.</t>
  </si>
  <si>
    <t>2% 10 Net 30</t>
  </si>
  <si>
    <t>Rettaler Property Ltd</t>
  </si>
  <si>
    <t>V</t>
  </si>
  <si>
    <t>VAT</t>
  </si>
  <si>
    <t>S</t>
  </si>
  <si>
    <t>Sum of line net headerAmount</t>
  </si>
  <si>
    <t>Total headerAmount with tax</t>
  </si>
  <si>
    <t>Vendor#: 1130 Document#: 51029 Date: 6/15/05</t>
  </si>
  <si>
    <t>IN</t>
  </si>
  <si>
    <t>Widget1</t>
  </si>
  <si>
    <t>Red Widger</t>
  </si>
  <si>
    <t>Each</t>
  </si>
  <si>
    <t>Net</t>
  </si>
  <si>
    <t>Gidget3</t>
  </si>
  <si>
    <t>Sally Field of Dreams Edition&lt;</t>
  </si>
  <si>
    <t>Invoice: #4321 Vendor: #8765</t>
  </si>
  <si>
    <t>Voucher#: 100901</t>
  </si>
  <si>
    <t>Example Ltd</t>
  </si>
  <si>
    <t>Self Adjusting Paper Clips</t>
  </si>
  <si>
    <t>Self Expanding Paper Sheets</t>
  </si>
  <si>
    <t>Allowance</t>
  </si>
  <si>
    <t>Waste Basket</t>
  </si>
  <si>
    <t>AA</t>
  </si>
  <si>
    <t>Sum of Line Net Amount</t>
  </si>
  <si>
    <t>Total Amount with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</si>
</sst>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164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8" xfId="0" applyBorder="1" applyAlignment="1">
      <alignment vertical="center" wrapText="1"/>
    </xf>
    <xf numFmtId="164" fontId="0" fillId="0" borderId="13" xfId="0" applyNumberFormat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164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/>
    </xf>
    <xf numFmtId="0" fontId="0" fillId="0" borderId="22" xfId="0" quotePrefix="1" applyBorder="1" applyAlignment="1">
      <alignment horizontal="center" vertical="center"/>
    </xf>
  </cellXfs>
  <cellStyles count="1">
    <cellStyle name="標準" xfId="0" builtinId="0"/>
  </cellStyles>
  <dxfs count="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EABE-D820-4503-9B22-1C41C23F83AE}">
  <dimension ref="A1:BE17"/>
  <sheetViews>
    <sheetView tabSelected="1" workbookViewId="0">
      <selection activeCell="M60" sqref="M60"/>
    </sheetView>
  </sheetViews>
  <sheetFormatPr defaultRowHeight="13.5" x14ac:dyDescent="0.15"/>
  <cols>
    <col min="14" max="14" width="14.5" style="3" bestFit="1" customWidth="1"/>
    <col min="17" max="18" width="14.5" style="3" bestFit="1" customWidth="1"/>
    <col min="23" max="23" width="14.5" style="3" bestFit="1" customWidth="1"/>
    <col min="25" max="25" width="14.5" style="3" bestFit="1" customWidth="1"/>
    <col min="29" max="30" width="14.5" style="3" bestFit="1" customWidth="1"/>
    <col min="32" max="32" width="14.5" style="3" bestFit="1" customWidth="1"/>
    <col min="47" max="47" width="9" style="1"/>
  </cols>
  <sheetData>
    <row r="1" spans="1:57" s="4" customForma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15">
      <c r="A2">
        <v>1</v>
      </c>
      <c r="K2" t="s">
        <v>57</v>
      </c>
      <c r="L2" s="2" t="s">
        <v>58</v>
      </c>
      <c r="M2" t="s">
        <v>59</v>
      </c>
      <c r="N2" s="3">
        <v>38538</v>
      </c>
      <c r="O2" t="s">
        <v>60</v>
      </c>
      <c r="P2" t="s">
        <v>61</v>
      </c>
      <c r="Q2" s="3">
        <v>38504</v>
      </c>
      <c r="R2" s="3">
        <v>38533</v>
      </c>
      <c r="S2" t="s">
        <v>62</v>
      </c>
      <c r="T2" t="s">
        <v>63</v>
      </c>
      <c r="U2" t="s">
        <v>64</v>
      </c>
      <c r="V2" t="s">
        <v>65</v>
      </c>
      <c r="W2"/>
      <c r="Y2"/>
      <c r="AC2"/>
      <c r="AD2"/>
      <c r="AF2"/>
      <c r="AU2"/>
    </row>
    <row r="3" spans="1:57" x14ac:dyDescent="0.15">
      <c r="A3">
        <v>1</v>
      </c>
      <c r="C3">
        <v>1</v>
      </c>
      <c r="N3"/>
      <c r="Q3"/>
      <c r="R3"/>
      <c r="W3" s="3">
        <v>38534</v>
      </c>
      <c r="X3" t="s">
        <v>66</v>
      </c>
      <c r="Y3" s="3">
        <v>38534</v>
      </c>
      <c r="Z3" t="s">
        <v>67</v>
      </c>
      <c r="AA3">
        <v>50</v>
      </c>
      <c r="AB3" t="s">
        <v>68</v>
      </c>
      <c r="AC3" s="3">
        <v>38518</v>
      </c>
      <c r="AD3" s="3">
        <v>38517</v>
      </c>
      <c r="AE3" t="s">
        <v>69</v>
      </c>
      <c r="AF3" s="3">
        <v>38548</v>
      </c>
      <c r="AG3" t="s">
        <v>70</v>
      </c>
      <c r="AH3">
        <v>1130</v>
      </c>
      <c r="AI3" t="s">
        <v>71</v>
      </c>
      <c r="AJ3" t="s">
        <v>72</v>
      </c>
      <c r="AK3" t="s">
        <v>73</v>
      </c>
      <c r="AL3">
        <v>160</v>
      </c>
      <c r="AM3">
        <v>800</v>
      </c>
      <c r="AN3">
        <v>20</v>
      </c>
      <c r="AO3" t="s">
        <v>74</v>
      </c>
      <c r="AU3"/>
    </row>
    <row r="4" spans="1:57" x14ac:dyDescent="0.15">
      <c r="A4">
        <v>1</v>
      </c>
      <c r="C4">
        <v>1</v>
      </c>
      <c r="F4">
        <v>1</v>
      </c>
      <c r="N4"/>
      <c r="Q4"/>
      <c r="R4"/>
      <c r="W4"/>
      <c r="Y4"/>
      <c r="AC4"/>
      <c r="AD4"/>
      <c r="AF4"/>
      <c r="AP4">
        <v>800</v>
      </c>
      <c r="AQ4" t="s">
        <v>75</v>
      </c>
      <c r="AU4"/>
    </row>
    <row r="5" spans="1:57" x14ac:dyDescent="0.15">
      <c r="A5">
        <v>1</v>
      </c>
      <c r="C5">
        <v>1</v>
      </c>
      <c r="F5">
        <v>2</v>
      </c>
      <c r="N5"/>
      <c r="Q5"/>
      <c r="R5"/>
      <c r="W5"/>
      <c r="Y5"/>
      <c r="AC5"/>
      <c r="AD5"/>
      <c r="AF5"/>
      <c r="AP5">
        <v>960</v>
      </c>
      <c r="AQ5" t="s">
        <v>76</v>
      </c>
      <c r="AU5"/>
    </row>
    <row r="6" spans="1:57" x14ac:dyDescent="0.15">
      <c r="A6">
        <v>1</v>
      </c>
      <c r="C6">
        <v>1</v>
      </c>
      <c r="G6">
        <v>1</v>
      </c>
      <c r="N6"/>
      <c r="Q6"/>
      <c r="R6"/>
      <c r="W6"/>
      <c r="Y6"/>
      <c r="AC6"/>
      <c r="AD6"/>
      <c r="AF6"/>
      <c r="AR6">
        <v>1</v>
      </c>
      <c r="AS6" t="s">
        <v>77</v>
      </c>
      <c r="AT6" t="s">
        <v>78</v>
      </c>
      <c r="AU6" t="s">
        <v>79</v>
      </c>
      <c r="AV6" t="s">
        <v>80</v>
      </c>
      <c r="AW6">
        <v>100</v>
      </c>
      <c r="AX6" t="s">
        <v>81</v>
      </c>
      <c r="AY6">
        <v>5</v>
      </c>
      <c r="AZ6" t="s">
        <v>73</v>
      </c>
      <c r="BB6">
        <v>20</v>
      </c>
      <c r="BC6" t="s">
        <v>74</v>
      </c>
      <c r="BD6">
        <v>500</v>
      </c>
      <c r="BE6" t="s">
        <v>82</v>
      </c>
    </row>
    <row r="7" spans="1:57" x14ac:dyDescent="0.15">
      <c r="A7">
        <v>1</v>
      </c>
      <c r="C7">
        <v>1</v>
      </c>
      <c r="G7">
        <v>2</v>
      </c>
      <c r="N7"/>
      <c r="Q7"/>
      <c r="R7"/>
      <c r="W7"/>
      <c r="Y7"/>
      <c r="AC7"/>
      <c r="AD7"/>
      <c r="AF7"/>
      <c r="AR7">
        <v>2</v>
      </c>
      <c r="AT7" t="s">
        <v>78</v>
      </c>
      <c r="AU7" t="s">
        <v>83</v>
      </c>
      <c r="AV7" t="s">
        <v>84</v>
      </c>
      <c r="AW7">
        <v>15</v>
      </c>
      <c r="AX7" t="s">
        <v>81</v>
      </c>
      <c r="AY7">
        <v>20</v>
      </c>
      <c r="AZ7" t="s">
        <v>73</v>
      </c>
      <c r="BB7">
        <v>20</v>
      </c>
      <c r="BC7" t="s">
        <v>74</v>
      </c>
      <c r="BD7">
        <v>300</v>
      </c>
      <c r="BE7" t="s">
        <v>82</v>
      </c>
    </row>
    <row r="8" spans="1:57" x14ac:dyDescent="0.15">
      <c r="A8">
        <v>1</v>
      </c>
      <c r="C8">
        <v>2</v>
      </c>
      <c r="N8"/>
      <c r="Q8"/>
      <c r="R8"/>
      <c r="W8" s="3">
        <v>38534</v>
      </c>
      <c r="X8" t="s">
        <v>66</v>
      </c>
      <c r="Y8" s="3">
        <v>38534</v>
      </c>
      <c r="Z8" t="s">
        <v>85</v>
      </c>
      <c r="AA8">
        <v>51</v>
      </c>
      <c r="AB8" t="s">
        <v>86</v>
      </c>
      <c r="AC8" s="3">
        <v>38518</v>
      </c>
      <c r="AD8" s="3">
        <v>38517</v>
      </c>
      <c r="AE8" t="s">
        <v>69</v>
      </c>
      <c r="AF8" s="3">
        <v>38548</v>
      </c>
      <c r="AG8" t="s">
        <v>70</v>
      </c>
      <c r="AH8">
        <v>4310</v>
      </c>
      <c r="AI8" t="s">
        <v>87</v>
      </c>
      <c r="AJ8" t="s">
        <v>72</v>
      </c>
      <c r="AU8"/>
    </row>
    <row r="9" spans="1:57" x14ac:dyDescent="0.15">
      <c r="A9">
        <v>1</v>
      </c>
      <c r="C9">
        <v>2</v>
      </c>
      <c r="E9">
        <v>1</v>
      </c>
      <c r="N9"/>
      <c r="Q9"/>
      <c r="R9"/>
      <c r="AK9" t="s">
        <v>73</v>
      </c>
      <c r="AL9">
        <f>AM9*AN9/100</f>
        <v>11060</v>
      </c>
      <c r="AM9">
        <v>55300</v>
      </c>
      <c r="AN9">
        <v>20</v>
      </c>
      <c r="AO9" t="s">
        <v>74</v>
      </c>
      <c r="AU9"/>
    </row>
    <row r="10" spans="1:57" x14ac:dyDescent="0.15">
      <c r="A10">
        <v>1</v>
      </c>
      <c r="C10">
        <v>2</v>
      </c>
      <c r="E10">
        <v>2</v>
      </c>
      <c r="N10"/>
      <c r="Q10"/>
      <c r="R10"/>
      <c r="AK10" t="s">
        <v>73</v>
      </c>
      <c r="AL10">
        <f>AM10*AN10/100</f>
        <v>200</v>
      </c>
      <c r="AM10">
        <v>2000</v>
      </c>
      <c r="AN10">
        <v>10</v>
      </c>
      <c r="AO10" t="s">
        <v>92</v>
      </c>
      <c r="AU10"/>
    </row>
    <row r="11" spans="1:57" x14ac:dyDescent="0.15">
      <c r="A11">
        <v>1</v>
      </c>
      <c r="C11">
        <v>2</v>
      </c>
      <c r="F11">
        <v>1</v>
      </c>
      <c r="N11"/>
      <c r="Q11"/>
      <c r="R11"/>
      <c r="W11"/>
      <c r="Y11"/>
      <c r="AC11"/>
      <c r="AD11"/>
      <c r="AF11"/>
      <c r="AP11">
        <f>AM9+AM10</f>
        <v>57300</v>
      </c>
      <c r="AQ11" t="s">
        <v>75</v>
      </c>
      <c r="AU11"/>
    </row>
    <row r="12" spans="1:57" x14ac:dyDescent="0.15">
      <c r="A12">
        <v>1</v>
      </c>
      <c r="C12">
        <v>2</v>
      </c>
      <c r="F12">
        <v>2</v>
      </c>
      <c r="N12"/>
      <c r="Q12"/>
      <c r="R12"/>
      <c r="W12"/>
      <c r="Y12"/>
      <c r="AC12"/>
      <c r="AD12"/>
      <c r="AF12"/>
      <c r="AP12">
        <f>AP11+AL9+AL10</f>
        <v>68560</v>
      </c>
      <c r="AQ12" t="s">
        <v>76</v>
      </c>
      <c r="AU12"/>
    </row>
    <row r="13" spans="1:57" x14ac:dyDescent="0.15">
      <c r="A13">
        <v>1</v>
      </c>
      <c r="C13">
        <v>2</v>
      </c>
      <c r="G13">
        <v>1</v>
      </c>
      <c r="N13"/>
      <c r="Q13"/>
      <c r="R13"/>
      <c r="W13"/>
      <c r="Y13"/>
      <c r="AC13"/>
      <c r="AD13"/>
      <c r="AF13"/>
      <c r="AR13">
        <v>1</v>
      </c>
      <c r="AT13" t="s">
        <v>78</v>
      </c>
      <c r="AU13">
        <v>4576</v>
      </c>
      <c r="AV13" t="s">
        <v>88</v>
      </c>
      <c r="AW13">
        <v>2000</v>
      </c>
      <c r="AX13" t="s">
        <v>81</v>
      </c>
      <c r="AY13">
        <v>27</v>
      </c>
      <c r="AZ13" t="s">
        <v>73</v>
      </c>
      <c r="BB13">
        <v>20</v>
      </c>
      <c r="BC13" t="s">
        <v>74</v>
      </c>
      <c r="BD13">
        <v>54000</v>
      </c>
      <c r="BE13" t="s">
        <v>82</v>
      </c>
    </row>
    <row r="14" spans="1:57" x14ac:dyDescent="0.15">
      <c r="A14">
        <v>1</v>
      </c>
      <c r="C14">
        <v>2</v>
      </c>
      <c r="G14">
        <v>2</v>
      </c>
      <c r="N14"/>
      <c r="Q14"/>
      <c r="R14"/>
      <c r="W14"/>
      <c r="Y14"/>
      <c r="AC14"/>
      <c r="AD14"/>
      <c r="AF14"/>
      <c r="AR14">
        <v>2</v>
      </c>
      <c r="AT14" t="s">
        <v>78</v>
      </c>
      <c r="AU14">
        <v>4800</v>
      </c>
      <c r="AV14" t="s">
        <v>89</v>
      </c>
      <c r="AW14">
        <v>100</v>
      </c>
      <c r="AX14" t="s">
        <v>81</v>
      </c>
      <c r="AY14">
        <v>15</v>
      </c>
      <c r="AZ14" t="s">
        <v>73</v>
      </c>
      <c r="BB14">
        <v>20</v>
      </c>
      <c r="BC14" t="s">
        <v>74</v>
      </c>
    </row>
    <row r="15" spans="1:57" x14ac:dyDescent="0.15">
      <c r="A15">
        <v>1</v>
      </c>
      <c r="C15">
        <v>2</v>
      </c>
      <c r="G15">
        <v>2</v>
      </c>
      <c r="J15">
        <v>1</v>
      </c>
      <c r="N15"/>
      <c r="Q15"/>
      <c r="R15"/>
      <c r="W15"/>
      <c r="Y15"/>
      <c r="AC15"/>
      <c r="AD15"/>
      <c r="AF15"/>
      <c r="AU15"/>
      <c r="BD15">
        <v>1500</v>
      </c>
      <c r="BE15" t="s">
        <v>82</v>
      </c>
    </row>
    <row r="16" spans="1:57" x14ac:dyDescent="0.15">
      <c r="A16">
        <v>1</v>
      </c>
      <c r="C16">
        <v>2</v>
      </c>
      <c r="G16">
        <v>2</v>
      </c>
      <c r="J16">
        <v>2</v>
      </c>
      <c r="N16"/>
      <c r="Q16"/>
      <c r="R16"/>
      <c r="W16"/>
      <c r="Y16"/>
      <c r="AC16"/>
      <c r="AD16"/>
      <c r="AF16"/>
      <c r="AU16"/>
      <c r="BD16">
        <v>200</v>
      </c>
      <c r="BE16" t="s">
        <v>90</v>
      </c>
    </row>
    <row r="17" spans="1:57" x14ac:dyDescent="0.15">
      <c r="A17">
        <v>1</v>
      </c>
      <c r="C17">
        <v>2</v>
      </c>
      <c r="G17">
        <v>3</v>
      </c>
      <c r="N17"/>
      <c r="Q17"/>
      <c r="R17"/>
      <c r="W17"/>
      <c r="Y17"/>
      <c r="AC17"/>
      <c r="AD17"/>
      <c r="AF17"/>
      <c r="AR17">
        <v>3</v>
      </c>
      <c r="AT17" t="s">
        <v>78</v>
      </c>
      <c r="AU17">
        <v>120</v>
      </c>
      <c r="AV17" t="s">
        <v>91</v>
      </c>
      <c r="AW17">
        <v>50</v>
      </c>
      <c r="AX17" t="s">
        <v>81</v>
      </c>
      <c r="AY17">
        <v>10</v>
      </c>
      <c r="AZ17" t="s">
        <v>73</v>
      </c>
      <c r="BB17">
        <v>10</v>
      </c>
      <c r="BC17" t="s">
        <v>92</v>
      </c>
      <c r="BD17">
        <v>2000</v>
      </c>
      <c r="BE17" t="s">
        <v>82</v>
      </c>
    </row>
  </sheetData>
  <conditionalFormatting sqref="A1:BE1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B849-2765-4188-AE44-E1420441129A}">
  <sheetPr>
    <pageSetUpPr fitToPage="1"/>
  </sheetPr>
  <dimension ref="A1:Q57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T26" sqref="T26"/>
    </sheetView>
  </sheetViews>
  <sheetFormatPr defaultRowHeight="13.5" x14ac:dyDescent="0.15"/>
  <cols>
    <col min="1" max="1" width="20.125" style="9" customWidth="1"/>
    <col min="2" max="3" width="12" style="8" customWidth="1"/>
    <col min="4" max="7" width="9.625" style="8" customWidth="1"/>
    <col min="8" max="8" width="12" style="8" customWidth="1"/>
    <col min="9" max="17" width="9.625" style="8" customWidth="1"/>
    <col min="18" max="16384" width="9" style="8"/>
  </cols>
  <sheetData>
    <row r="1" spans="1:17" x14ac:dyDescent="0.15">
      <c r="A1" s="29" t="s">
        <v>0</v>
      </c>
      <c r="B1" s="40">
        <v>1</v>
      </c>
      <c r="C1" s="29">
        <v>1</v>
      </c>
      <c r="D1" s="11">
        <v>1</v>
      </c>
      <c r="E1" s="13">
        <v>1</v>
      </c>
      <c r="F1" s="23">
        <v>1</v>
      </c>
      <c r="G1" s="13">
        <v>1</v>
      </c>
      <c r="H1" s="29">
        <v>1</v>
      </c>
      <c r="I1" s="23">
        <v>1</v>
      </c>
      <c r="J1" s="49">
        <v>1</v>
      </c>
      <c r="K1" s="11">
        <v>1</v>
      </c>
      <c r="L1" s="13">
        <v>1</v>
      </c>
      <c r="M1" s="23">
        <v>1</v>
      </c>
      <c r="N1" s="12">
        <v>1</v>
      </c>
      <c r="O1" s="12">
        <v>1</v>
      </c>
      <c r="P1" s="12">
        <v>1</v>
      </c>
      <c r="Q1" s="13">
        <v>1</v>
      </c>
    </row>
    <row r="2" spans="1:17" x14ac:dyDescent="0.15">
      <c r="A2" s="30" t="s">
        <v>1</v>
      </c>
      <c r="B2" s="41"/>
      <c r="C2" s="30"/>
      <c r="D2" s="14"/>
      <c r="E2" s="15"/>
      <c r="F2" s="24"/>
      <c r="G2" s="15"/>
      <c r="H2" s="30"/>
      <c r="I2" s="24"/>
      <c r="J2" s="50"/>
      <c r="K2" s="14"/>
      <c r="L2" s="15"/>
      <c r="M2" s="24"/>
      <c r="N2" s="7"/>
      <c r="O2" s="7"/>
      <c r="P2" s="7"/>
      <c r="Q2" s="15"/>
    </row>
    <row r="3" spans="1:17" x14ac:dyDescent="0.15">
      <c r="A3" s="30" t="s">
        <v>2</v>
      </c>
      <c r="B3" s="41"/>
      <c r="C3" s="30">
        <v>1</v>
      </c>
      <c r="D3" s="14">
        <v>1</v>
      </c>
      <c r="E3" s="15">
        <v>1</v>
      </c>
      <c r="F3" s="24">
        <v>1</v>
      </c>
      <c r="G3" s="15">
        <v>1</v>
      </c>
      <c r="H3" s="30">
        <v>2</v>
      </c>
      <c r="I3" s="24">
        <v>2</v>
      </c>
      <c r="J3" s="50">
        <v>2</v>
      </c>
      <c r="K3" s="14">
        <v>2</v>
      </c>
      <c r="L3" s="15">
        <v>2</v>
      </c>
      <c r="M3" s="24">
        <v>2</v>
      </c>
      <c r="N3" s="7">
        <v>2</v>
      </c>
      <c r="O3" s="7">
        <v>2</v>
      </c>
      <c r="P3" s="7">
        <v>2</v>
      </c>
      <c r="Q3" s="15">
        <v>2</v>
      </c>
    </row>
    <row r="4" spans="1:17" x14ac:dyDescent="0.15">
      <c r="A4" s="30" t="s">
        <v>3</v>
      </c>
      <c r="B4" s="41"/>
      <c r="C4" s="30"/>
      <c r="D4" s="14"/>
      <c r="E4" s="15"/>
      <c r="F4" s="24"/>
      <c r="G4" s="15"/>
      <c r="H4" s="30"/>
      <c r="I4" s="24"/>
      <c r="J4" s="50"/>
      <c r="K4" s="14"/>
      <c r="L4" s="15"/>
      <c r="M4" s="24"/>
      <c r="N4" s="7"/>
      <c r="O4" s="7"/>
      <c r="P4" s="7"/>
      <c r="Q4" s="15"/>
    </row>
    <row r="5" spans="1:17" x14ac:dyDescent="0.15">
      <c r="A5" s="30" t="s">
        <v>4</v>
      </c>
      <c r="B5" s="41"/>
      <c r="C5" s="30"/>
      <c r="D5" s="14"/>
      <c r="E5" s="15"/>
      <c r="F5" s="24"/>
      <c r="G5" s="15"/>
      <c r="H5" s="30"/>
      <c r="I5" s="24">
        <v>1</v>
      </c>
      <c r="J5" s="50">
        <v>2</v>
      </c>
      <c r="K5" s="14"/>
      <c r="L5" s="15"/>
      <c r="M5" s="24"/>
      <c r="N5" s="7"/>
      <c r="O5" s="7"/>
      <c r="P5" s="7"/>
      <c r="Q5" s="15"/>
    </row>
    <row r="6" spans="1:17" x14ac:dyDescent="0.15">
      <c r="A6" s="30" t="s">
        <v>5</v>
      </c>
      <c r="B6" s="41"/>
      <c r="C6" s="30"/>
      <c r="D6" s="14">
        <v>1</v>
      </c>
      <c r="E6" s="15">
        <v>2</v>
      </c>
      <c r="F6" s="24"/>
      <c r="G6" s="15"/>
      <c r="H6" s="30"/>
      <c r="I6" s="24"/>
      <c r="J6" s="50"/>
      <c r="K6" s="14">
        <v>1</v>
      </c>
      <c r="L6" s="15">
        <v>2</v>
      </c>
      <c r="M6" s="24"/>
      <c r="N6" s="7"/>
      <c r="O6" s="7"/>
      <c r="P6" s="7"/>
      <c r="Q6" s="15"/>
    </row>
    <row r="7" spans="1:17" x14ac:dyDescent="0.15">
      <c r="A7" s="30" t="s">
        <v>6</v>
      </c>
      <c r="B7" s="41"/>
      <c r="C7" s="30"/>
      <c r="D7" s="14"/>
      <c r="E7" s="15"/>
      <c r="F7" s="24">
        <v>1</v>
      </c>
      <c r="G7" s="15">
        <v>2</v>
      </c>
      <c r="H7" s="30"/>
      <c r="I7" s="24"/>
      <c r="J7" s="50"/>
      <c r="K7" s="14"/>
      <c r="L7" s="15"/>
      <c r="M7" s="24">
        <v>1</v>
      </c>
      <c r="N7" s="7">
        <v>2</v>
      </c>
      <c r="O7" s="7">
        <v>2</v>
      </c>
      <c r="P7" s="7">
        <v>2</v>
      </c>
      <c r="Q7" s="15">
        <v>3</v>
      </c>
    </row>
    <row r="8" spans="1:17" x14ac:dyDescent="0.15">
      <c r="A8" s="30" t="s">
        <v>7</v>
      </c>
      <c r="B8" s="41"/>
      <c r="C8" s="30"/>
      <c r="D8" s="14"/>
      <c r="E8" s="15"/>
      <c r="F8" s="24"/>
      <c r="G8" s="15"/>
      <c r="H8" s="30"/>
      <c r="I8" s="24"/>
      <c r="J8" s="50"/>
      <c r="K8" s="14"/>
      <c r="L8" s="15"/>
      <c r="M8" s="24"/>
      <c r="N8" s="7"/>
      <c r="O8" s="7"/>
      <c r="P8" s="7"/>
      <c r="Q8" s="15"/>
    </row>
    <row r="9" spans="1:17" x14ac:dyDescent="0.15">
      <c r="A9" s="30" t="s">
        <v>8</v>
      </c>
      <c r="B9" s="41"/>
      <c r="C9" s="30"/>
      <c r="D9" s="14"/>
      <c r="E9" s="15"/>
      <c r="F9" s="24"/>
      <c r="G9" s="15"/>
      <c r="H9" s="30"/>
      <c r="I9" s="24"/>
      <c r="J9" s="50"/>
      <c r="K9" s="14"/>
      <c r="L9" s="15"/>
      <c r="M9" s="24"/>
      <c r="N9" s="7"/>
      <c r="O9" s="7"/>
      <c r="P9" s="7"/>
      <c r="Q9" s="15"/>
    </row>
    <row r="10" spans="1:17" ht="14.25" thickBot="1" x14ac:dyDescent="0.2">
      <c r="A10" s="31" t="s">
        <v>9</v>
      </c>
      <c r="B10" s="42"/>
      <c r="C10" s="31"/>
      <c r="D10" s="16"/>
      <c r="E10" s="18"/>
      <c r="F10" s="25"/>
      <c r="G10" s="18"/>
      <c r="H10" s="31"/>
      <c r="I10" s="25"/>
      <c r="J10" s="51"/>
      <c r="K10" s="16"/>
      <c r="L10" s="18"/>
      <c r="M10" s="25"/>
      <c r="N10" s="17"/>
      <c r="O10" s="17">
        <v>1</v>
      </c>
      <c r="P10" s="17">
        <v>2</v>
      </c>
      <c r="Q10" s="18"/>
    </row>
    <row r="11" spans="1:17" x14ac:dyDescent="0.15">
      <c r="A11" s="29" t="s">
        <v>56</v>
      </c>
      <c r="B11" s="40" t="s">
        <v>57</v>
      </c>
      <c r="C11" s="29"/>
      <c r="D11" s="11"/>
      <c r="E11" s="13"/>
      <c r="F11" s="23"/>
      <c r="G11" s="13"/>
      <c r="H11" s="29"/>
      <c r="I11" s="23"/>
      <c r="J11" s="49"/>
      <c r="K11" s="11"/>
      <c r="L11" s="13"/>
      <c r="M11" s="23"/>
      <c r="N11" s="12"/>
      <c r="O11" s="12"/>
      <c r="P11" s="12"/>
      <c r="Q11" s="13"/>
    </row>
    <row r="12" spans="1:17" x14ac:dyDescent="0.15">
      <c r="A12" s="30" t="s">
        <v>10</v>
      </c>
      <c r="B12" s="57" t="s">
        <v>58</v>
      </c>
      <c r="C12" s="30"/>
      <c r="D12" s="14"/>
      <c r="E12" s="15"/>
      <c r="F12" s="24"/>
      <c r="G12" s="15"/>
      <c r="H12" s="30"/>
      <c r="I12" s="24"/>
      <c r="J12" s="50"/>
      <c r="K12" s="14"/>
      <c r="L12" s="15"/>
      <c r="M12" s="24"/>
      <c r="N12" s="7"/>
      <c r="O12" s="7"/>
      <c r="P12" s="7"/>
      <c r="Q12" s="15"/>
    </row>
    <row r="13" spans="1:17" x14ac:dyDescent="0.15">
      <c r="A13" s="30" t="s">
        <v>11</v>
      </c>
      <c r="B13" s="41" t="s">
        <v>59</v>
      </c>
      <c r="C13" s="30"/>
      <c r="D13" s="14"/>
      <c r="E13" s="15"/>
      <c r="F13" s="24"/>
      <c r="G13" s="15"/>
      <c r="H13" s="30"/>
      <c r="I13" s="24"/>
      <c r="J13" s="50"/>
      <c r="K13" s="14"/>
      <c r="L13" s="15"/>
      <c r="M13" s="24"/>
      <c r="N13" s="7"/>
      <c r="O13" s="7"/>
      <c r="P13" s="7"/>
      <c r="Q13" s="15"/>
    </row>
    <row r="14" spans="1:17" x14ac:dyDescent="0.15">
      <c r="A14" s="30" t="s">
        <v>12</v>
      </c>
      <c r="B14" s="43">
        <v>38538</v>
      </c>
      <c r="C14" s="30"/>
      <c r="D14" s="14"/>
      <c r="E14" s="15"/>
      <c r="F14" s="24"/>
      <c r="G14" s="15"/>
      <c r="H14" s="30"/>
      <c r="I14" s="24"/>
      <c r="J14" s="50"/>
      <c r="K14" s="14"/>
      <c r="L14" s="15"/>
      <c r="M14" s="24"/>
      <c r="N14" s="7"/>
      <c r="O14" s="7"/>
      <c r="P14" s="7"/>
      <c r="Q14" s="15"/>
    </row>
    <row r="15" spans="1:17" s="6" customFormat="1" ht="40.5" x14ac:dyDescent="0.15">
      <c r="A15" s="33" t="s">
        <v>13</v>
      </c>
      <c r="B15" s="44" t="s">
        <v>60</v>
      </c>
      <c r="C15" s="33"/>
      <c r="D15" s="21"/>
      <c r="E15" s="22"/>
      <c r="F15" s="28"/>
      <c r="G15" s="22"/>
      <c r="H15" s="33"/>
      <c r="I15" s="28"/>
      <c r="J15" s="54"/>
      <c r="K15" s="21"/>
      <c r="L15" s="22"/>
      <c r="M15" s="28"/>
      <c r="N15" s="5"/>
      <c r="O15" s="5"/>
      <c r="P15" s="5"/>
      <c r="Q15" s="22"/>
    </row>
    <row r="16" spans="1:17" s="6" customFormat="1" ht="81" x14ac:dyDescent="0.15">
      <c r="A16" s="33" t="s">
        <v>14</v>
      </c>
      <c r="B16" s="44" t="s">
        <v>61</v>
      </c>
      <c r="C16" s="33"/>
      <c r="D16" s="21"/>
      <c r="E16" s="22"/>
      <c r="F16" s="28"/>
      <c r="G16" s="22"/>
      <c r="H16" s="33"/>
      <c r="I16" s="28"/>
      <c r="J16" s="54"/>
      <c r="K16" s="21"/>
      <c r="L16" s="22"/>
      <c r="M16" s="28"/>
      <c r="N16" s="5"/>
      <c r="O16" s="5"/>
      <c r="P16" s="5"/>
      <c r="Q16" s="22"/>
    </row>
    <row r="17" spans="1:17" x14ac:dyDescent="0.15">
      <c r="A17" s="30" t="s">
        <v>15</v>
      </c>
      <c r="B17" s="43">
        <v>38504</v>
      </c>
      <c r="C17" s="30"/>
      <c r="D17" s="14"/>
      <c r="E17" s="15"/>
      <c r="F17" s="24"/>
      <c r="G17" s="15"/>
      <c r="H17" s="30"/>
      <c r="I17" s="24"/>
      <c r="J17" s="50"/>
      <c r="K17" s="14"/>
      <c r="L17" s="15"/>
      <c r="M17" s="24"/>
      <c r="N17" s="7"/>
      <c r="O17" s="7"/>
      <c r="P17" s="7"/>
      <c r="Q17" s="15"/>
    </row>
    <row r="18" spans="1:17" x14ac:dyDescent="0.15">
      <c r="A18" s="30" t="s">
        <v>16</v>
      </c>
      <c r="B18" s="43">
        <v>38533</v>
      </c>
      <c r="C18" s="30"/>
      <c r="D18" s="14"/>
      <c r="E18" s="15"/>
      <c r="F18" s="24"/>
      <c r="G18" s="15"/>
      <c r="H18" s="30"/>
      <c r="I18" s="24"/>
      <c r="J18" s="50"/>
      <c r="K18" s="14"/>
      <c r="L18" s="15"/>
      <c r="M18" s="24"/>
      <c r="N18" s="7"/>
      <c r="O18" s="7"/>
      <c r="P18" s="7"/>
      <c r="Q18" s="15"/>
    </row>
    <row r="19" spans="1:17" x14ac:dyDescent="0.15">
      <c r="A19" s="30" t="s">
        <v>17</v>
      </c>
      <c r="B19" s="41" t="s">
        <v>62</v>
      </c>
      <c r="C19" s="30"/>
      <c r="D19" s="14"/>
      <c r="E19" s="15"/>
      <c r="F19" s="24"/>
      <c r="G19" s="15"/>
      <c r="H19" s="30"/>
      <c r="I19" s="24"/>
      <c r="J19" s="50"/>
      <c r="K19" s="14"/>
      <c r="L19" s="15"/>
      <c r="M19" s="24"/>
      <c r="N19" s="7"/>
      <c r="O19" s="7"/>
      <c r="P19" s="7"/>
      <c r="Q19" s="15"/>
    </row>
    <row r="20" spans="1:17" x14ac:dyDescent="0.15">
      <c r="A20" s="30" t="s">
        <v>18</v>
      </c>
      <c r="B20" s="41" t="s">
        <v>63</v>
      </c>
      <c r="C20" s="30"/>
      <c r="D20" s="14"/>
      <c r="E20" s="15"/>
      <c r="F20" s="24"/>
      <c r="G20" s="15"/>
      <c r="H20" s="30"/>
      <c r="I20" s="24"/>
      <c r="J20" s="50"/>
      <c r="K20" s="14"/>
      <c r="L20" s="15"/>
      <c r="M20" s="24"/>
      <c r="N20" s="7"/>
      <c r="O20" s="7"/>
      <c r="P20" s="7"/>
      <c r="Q20" s="15"/>
    </row>
    <row r="21" spans="1:17" s="6" customFormat="1" ht="27" x14ac:dyDescent="0.15">
      <c r="A21" s="33" t="s">
        <v>19</v>
      </c>
      <c r="B21" s="44" t="s">
        <v>64</v>
      </c>
      <c r="C21" s="33"/>
      <c r="D21" s="21"/>
      <c r="E21" s="22"/>
      <c r="F21" s="28"/>
      <c r="G21" s="22"/>
      <c r="H21" s="33"/>
      <c r="I21" s="28"/>
      <c r="J21" s="54"/>
      <c r="K21" s="21"/>
      <c r="L21" s="22"/>
      <c r="M21" s="28"/>
      <c r="N21" s="5"/>
      <c r="O21" s="5"/>
      <c r="P21" s="5"/>
      <c r="Q21" s="22"/>
    </row>
    <row r="22" spans="1:17" s="6" customFormat="1" ht="27.75" thickBot="1" x14ac:dyDescent="0.2">
      <c r="A22" s="35" t="s">
        <v>20</v>
      </c>
      <c r="B22" s="45" t="s">
        <v>65</v>
      </c>
      <c r="C22" s="35"/>
      <c r="D22" s="36"/>
      <c r="E22" s="38"/>
      <c r="F22" s="39"/>
      <c r="G22" s="38"/>
      <c r="H22" s="35"/>
      <c r="I22" s="39"/>
      <c r="J22" s="55"/>
      <c r="K22" s="36"/>
      <c r="L22" s="38"/>
      <c r="M22" s="39"/>
      <c r="N22" s="37"/>
      <c r="O22" s="37"/>
      <c r="P22" s="37"/>
      <c r="Q22" s="38"/>
    </row>
    <row r="23" spans="1:17" x14ac:dyDescent="0.15">
      <c r="A23" s="29" t="s">
        <v>21</v>
      </c>
      <c r="B23" s="40"/>
      <c r="C23" s="47">
        <v>38534</v>
      </c>
      <c r="D23" s="11"/>
      <c r="E23" s="13"/>
      <c r="F23" s="23"/>
      <c r="G23" s="13"/>
      <c r="H23" s="47">
        <v>38534</v>
      </c>
      <c r="I23" s="34"/>
      <c r="J23" s="52"/>
      <c r="K23" s="11"/>
      <c r="L23" s="13"/>
      <c r="M23" s="23"/>
      <c r="N23" s="12"/>
      <c r="O23" s="12"/>
      <c r="P23" s="12"/>
      <c r="Q23" s="13"/>
    </row>
    <row r="24" spans="1:17" x14ac:dyDescent="0.15">
      <c r="A24" s="30" t="s">
        <v>22</v>
      </c>
      <c r="B24" s="41"/>
      <c r="C24" s="30" t="s">
        <v>66</v>
      </c>
      <c r="D24" s="14"/>
      <c r="E24" s="15"/>
      <c r="F24" s="24"/>
      <c r="G24" s="15"/>
      <c r="H24" s="30" t="s">
        <v>66</v>
      </c>
      <c r="I24" s="24"/>
      <c r="J24" s="50"/>
      <c r="K24" s="14"/>
      <c r="L24" s="15"/>
      <c r="M24" s="24"/>
      <c r="N24" s="7"/>
      <c r="O24" s="7"/>
      <c r="P24" s="7"/>
      <c r="Q24" s="15"/>
    </row>
    <row r="25" spans="1:17" x14ac:dyDescent="0.15">
      <c r="A25" s="30" t="s">
        <v>23</v>
      </c>
      <c r="B25" s="41"/>
      <c r="C25" s="48">
        <v>38534</v>
      </c>
      <c r="D25" s="14"/>
      <c r="E25" s="15"/>
      <c r="F25" s="24"/>
      <c r="G25" s="15"/>
      <c r="H25" s="48">
        <v>38534</v>
      </c>
      <c r="I25" s="27"/>
      <c r="J25" s="53"/>
      <c r="K25" s="14"/>
      <c r="L25" s="15"/>
      <c r="M25" s="24"/>
      <c r="N25" s="7"/>
      <c r="O25" s="7"/>
      <c r="P25" s="7"/>
      <c r="Q25" s="15"/>
    </row>
    <row r="26" spans="1:17" s="6" customFormat="1" ht="54" x14ac:dyDescent="0.15">
      <c r="A26" s="33" t="s">
        <v>24</v>
      </c>
      <c r="B26" s="44"/>
      <c r="C26" s="33" t="s">
        <v>67</v>
      </c>
      <c r="D26" s="21"/>
      <c r="E26" s="22"/>
      <c r="F26" s="28"/>
      <c r="G26" s="22"/>
      <c r="H26" s="33" t="s">
        <v>85</v>
      </c>
      <c r="I26" s="28"/>
      <c r="J26" s="54"/>
      <c r="K26" s="21"/>
      <c r="L26" s="22"/>
      <c r="M26" s="28"/>
      <c r="N26" s="5"/>
      <c r="O26" s="5"/>
      <c r="P26" s="5"/>
      <c r="Q26" s="22"/>
    </row>
    <row r="27" spans="1:17" x14ac:dyDescent="0.15">
      <c r="A27" s="30" t="s">
        <v>25</v>
      </c>
      <c r="B27" s="41"/>
      <c r="C27" s="30">
        <v>50</v>
      </c>
      <c r="D27" s="14"/>
      <c r="E27" s="15"/>
      <c r="F27" s="24"/>
      <c r="G27" s="15"/>
      <c r="H27" s="30">
        <v>51</v>
      </c>
      <c r="I27" s="24"/>
      <c r="J27" s="50"/>
      <c r="K27" s="14"/>
      <c r="L27" s="15"/>
      <c r="M27" s="24"/>
      <c r="N27" s="7"/>
      <c r="O27" s="7"/>
      <c r="P27" s="7"/>
      <c r="Q27" s="15"/>
    </row>
    <row r="28" spans="1:17" s="6" customFormat="1" ht="27" x14ac:dyDescent="0.15">
      <c r="A28" s="33" t="s">
        <v>26</v>
      </c>
      <c r="B28" s="44"/>
      <c r="C28" s="33" t="s">
        <v>68</v>
      </c>
      <c r="D28" s="21"/>
      <c r="E28" s="22"/>
      <c r="F28" s="28"/>
      <c r="G28" s="22"/>
      <c r="H28" s="33" t="s">
        <v>86</v>
      </c>
      <c r="I28" s="28"/>
      <c r="J28" s="54"/>
      <c r="K28" s="21"/>
      <c r="L28" s="22"/>
      <c r="M28" s="28"/>
      <c r="N28" s="5"/>
      <c r="O28" s="5"/>
      <c r="P28" s="5"/>
      <c r="Q28" s="22"/>
    </row>
    <row r="29" spans="1:17" x14ac:dyDescent="0.15">
      <c r="A29" s="30" t="s">
        <v>27</v>
      </c>
      <c r="B29" s="41"/>
      <c r="C29" s="48">
        <v>38518</v>
      </c>
      <c r="D29" s="14"/>
      <c r="E29" s="15"/>
      <c r="F29" s="24"/>
      <c r="G29" s="15"/>
      <c r="H29" s="48">
        <v>38518</v>
      </c>
      <c r="I29" s="27"/>
      <c r="J29" s="53"/>
      <c r="K29" s="14"/>
      <c r="L29" s="15"/>
      <c r="M29" s="24"/>
      <c r="N29" s="7"/>
      <c r="O29" s="7"/>
      <c r="P29" s="7"/>
      <c r="Q29" s="15"/>
    </row>
    <row r="30" spans="1:17" x14ac:dyDescent="0.15">
      <c r="A30" s="30" t="s">
        <v>28</v>
      </c>
      <c r="B30" s="41"/>
      <c r="C30" s="48">
        <v>38517</v>
      </c>
      <c r="D30" s="14"/>
      <c r="E30" s="15"/>
      <c r="F30" s="24"/>
      <c r="G30" s="15"/>
      <c r="H30" s="48">
        <v>38517</v>
      </c>
      <c r="I30" s="27"/>
      <c r="J30" s="53"/>
      <c r="K30" s="14"/>
      <c r="L30" s="15"/>
      <c r="M30" s="24"/>
      <c r="N30" s="7"/>
      <c r="O30" s="7"/>
      <c r="P30" s="7"/>
      <c r="Q30" s="15"/>
    </row>
    <row r="31" spans="1:17" s="6" customFormat="1" ht="27" x14ac:dyDescent="0.15">
      <c r="A31" s="33" t="s">
        <v>29</v>
      </c>
      <c r="B31" s="44"/>
      <c r="C31" s="33" t="s">
        <v>69</v>
      </c>
      <c r="D31" s="21"/>
      <c r="E31" s="22"/>
      <c r="F31" s="28"/>
      <c r="G31" s="22"/>
      <c r="H31" s="33" t="s">
        <v>69</v>
      </c>
      <c r="I31" s="28"/>
      <c r="J31" s="54"/>
      <c r="K31" s="21"/>
      <c r="L31" s="22"/>
      <c r="M31" s="28"/>
      <c r="N31" s="5"/>
      <c r="O31" s="5"/>
      <c r="P31" s="5"/>
      <c r="Q31" s="22"/>
    </row>
    <row r="32" spans="1:17" x14ac:dyDescent="0.15">
      <c r="A32" s="30" t="s">
        <v>30</v>
      </c>
      <c r="B32" s="41"/>
      <c r="C32" s="48">
        <v>38548</v>
      </c>
      <c r="D32" s="14"/>
      <c r="E32" s="15"/>
      <c r="F32" s="24"/>
      <c r="G32" s="15"/>
      <c r="H32" s="48">
        <v>38548</v>
      </c>
      <c r="I32" s="27"/>
      <c r="J32" s="53"/>
      <c r="K32" s="14"/>
      <c r="L32" s="15"/>
      <c r="M32" s="24"/>
      <c r="N32" s="7"/>
      <c r="O32" s="7"/>
      <c r="P32" s="7"/>
      <c r="Q32" s="15"/>
    </row>
    <row r="33" spans="1:17" x14ac:dyDescent="0.15">
      <c r="A33" s="30" t="s">
        <v>31</v>
      </c>
      <c r="B33" s="41"/>
      <c r="C33" s="30" t="s">
        <v>70</v>
      </c>
      <c r="D33" s="14"/>
      <c r="E33" s="15"/>
      <c r="F33" s="24"/>
      <c r="G33" s="15"/>
      <c r="H33" s="30" t="s">
        <v>70</v>
      </c>
      <c r="I33" s="24"/>
      <c r="J33" s="50"/>
      <c r="K33" s="14"/>
      <c r="L33" s="15"/>
      <c r="M33" s="24"/>
      <c r="N33" s="7"/>
      <c r="O33" s="7"/>
      <c r="P33" s="7"/>
      <c r="Q33" s="15"/>
    </row>
    <row r="34" spans="1:17" x14ac:dyDescent="0.15">
      <c r="A34" s="30" t="s">
        <v>32</v>
      </c>
      <c r="B34" s="41"/>
      <c r="C34" s="30">
        <v>1130</v>
      </c>
      <c r="D34" s="14"/>
      <c r="E34" s="15"/>
      <c r="F34" s="24"/>
      <c r="G34" s="15"/>
      <c r="H34" s="30">
        <v>4310</v>
      </c>
      <c r="I34" s="24"/>
      <c r="J34" s="50"/>
      <c r="K34" s="14"/>
      <c r="L34" s="15"/>
      <c r="M34" s="24"/>
      <c r="N34" s="7"/>
      <c r="O34" s="7"/>
      <c r="P34" s="7"/>
      <c r="Q34" s="15"/>
    </row>
    <row r="35" spans="1:17" s="6" customFormat="1" ht="27" x14ac:dyDescent="0.15">
      <c r="A35" s="33" t="s">
        <v>33</v>
      </c>
      <c r="B35" s="44"/>
      <c r="C35" s="33" t="s">
        <v>71</v>
      </c>
      <c r="D35" s="21"/>
      <c r="E35" s="22"/>
      <c r="F35" s="28"/>
      <c r="G35" s="22"/>
      <c r="H35" s="33" t="s">
        <v>87</v>
      </c>
      <c r="I35" s="28"/>
      <c r="J35" s="54"/>
      <c r="K35" s="21"/>
      <c r="L35" s="22"/>
      <c r="M35" s="28"/>
      <c r="N35" s="5"/>
      <c r="O35" s="5"/>
      <c r="P35" s="5"/>
      <c r="Q35" s="22"/>
    </row>
    <row r="36" spans="1:17" ht="14.25" thickBot="1" x14ac:dyDescent="0.2">
      <c r="A36" s="31" t="s">
        <v>34</v>
      </c>
      <c r="B36" s="42"/>
      <c r="C36" s="31" t="s">
        <v>72</v>
      </c>
      <c r="D36" s="16"/>
      <c r="E36" s="18"/>
      <c r="F36" s="25"/>
      <c r="G36" s="18"/>
      <c r="H36" s="31" t="s">
        <v>72</v>
      </c>
      <c r="I36" s="25"/>
      <c r="J36" s="51"/>
      <c r="K36" s="16"/>
      <c r="L36" s="18"/>
      <c r="M36" s="25"/>
      <c r="N36" s="17"/>
      <c r="O36" s="17"/>
      <c r="P36" s="17"/>
      <c r="Q36" s="18"/>
    </row>
    <row r="37" spans="1:17" x14ac:dyDescent="0.15">
      <c r="A37" s="29" t="s">
        <v>35</v>
      </c>
      <c r="B37" s="40"/>
      <c r="C37" s="29" t="s">
        <v>73</v>
      </c>
      <c r="D37" s="11"/>
      <c r="E37" s="13"/>
      <c r="F37" s="23"/>
      <c r="G37" s="13"/>
      <c r="H37" s="29"/>
      <c r="I37" s="23" t="s">
        <v>73</v>
      </c>
      <c r="J37" s="49" t="s">
        <v>73</v>
      </c>
      <c r="K37" s="11"/>
      <c r="L37" s="13"/>
      <c r="M37" s="23"/>
      <c r="N37" s="12"/>
      <c r="O37" s="12"/>
      <c r="P37" s="12"/>
      <c r="Q37" s="13"/>
    </row>
    <row r="38" spans="1:17" x14ac:dyDescent="0.15">
      <c r="A38" s="30" t="s">
        <v>36</v>
      </c>
      <c r="B38" s="41"/>
      <c r="C38" s="30">
        <v>160</v>
      </c>
      <c r="D38" s="14"/>
      <c r="E38" s="15"/>
      <c r="F38" s="24"/>
      <c r="G38" s="15"/>
      <c r="H38" s="30"/>
      <c r="I38" s="24">
        <f>I39*I40/100</f>
        <v>11060</v>
      </c>
      <c r="J38" s="50">
        <f>J39*J40/100</f>
        <v>200</v>
      </c>
      <c r="K38" s="14"/>
      <c r="L38" s="15"/>
      <c r="M38" s="24"/>
      <c r="N38" s="7"/>
      <c r="O38" s="7"/>
      <c r="P38" s="7"/>
      <c r="Q38" s="15"/>
    </row>
    <row r="39" spans="1:17" x14ac:dyDescent="0.15">
      <c r="A39" s="30" t="s">
        <v>37</v>
      </c>
      <c r="B39" s="41"/>
      <c r="C39" s="30">
        <v>800</v>
      </c>
      <c r="D39" s="14"/>
      <c r="E39" s="15"/>
      <c r="F39" s="24"/>
      <c r="G39" s="15"/>
      <c r="H39" s="30"/>
      <c r="I39" s="24">
        <v>55300</v>
      </c>
      <c r="J39" s="50">
        <v>2000</v>
      </c>
      <c r="K39" s="14"/>
      <c r="L39" s="15"/>
      <c r="M39" s="24"/>
      <c r="N39" s="7"/>
      <c r="O39" s="7"/>
      <c r="P39" s="7"/>
      <c r="Q39" s="15"/>
    </row>
    <row r="40" spans="1:17" x14ac:dyDescent="0.15">
      <c r="A40" s="30" t="s">
        <v>38</v>
      </c>
      <c r="B40" s="41"/>
      <c r="C40" s="30">
        <v>20</v>
      </c>
      <c r="D40" s="14"/>
      <c r="E40" s="15"/>
      <c r="F40" s="24"/>
      <c r="G40" s="15"/>
      <c r="H40" s="30"/>
      <c r="I40" s="24">
        <v>20</v>
      </c>
      <c r="J40" s="50">
        <v>10</v>
      </c>
      <c r="K40" s="14"/>
      <c r="L40" s="15"/>
      <c r="M40" s="24"/>
      <c r="N40" s="7"/>
      <c r="O40" s="7"/>
      <c r="P40" s="7"/>
      <c r="Q40" s="15"/>
    </row>
    <row r="41" spans="1:17" ht="14.25" thickBot="1" x14ac:dyDescent="0.2">
      <c r="A41" s="31" t="s">
        <v>39</v>
      </c>
      <c r="B41" s="42"/>
      <c r="C41" s="31" t="s">
        <v>74</v>
      </c>
      <c r="D41" s="16"/>
      <c r="E41" s="18"/>
      <c r="F41" s="25"/>
      <c r="G41" s="18"/>
      <c r="H41" s="31"/>
      <c r="I41" s="25" t="s">
        <v>74</v>
      </c>
      <c r="J41" s="51" t="s">
        <v>92</v>
      </c>
      <c r="K41" s="16"/>
      <c r="L41" s="18"/>
      <c r="M41" s="25"/>
      <c r="N41" s="17"/>
      <c r="O41" s="17"/>
      <c r="P41" s="17"/>
      <c r="Q41" s="18"/>
    </row>
    <row r="42" spans="1:17" x14ac:dyDescent="0.15">
      <c r="A42" s="29" t="s">
        <v>40</v>
      </c>
      <c r="B42" s="40"/>
      <c r="C42" s="29"/>
      <c r="D42" s="11">
        <v>800</v>
      </c>
      <c r="E42" s="13">
        <v>960</v>
      </c>
      <c r="F42" s="23"/>
      <c r="G42" s="13"/>
      <c r="H42" s="29"/>
      <c r="I42" s="23"/>
      <c r="J42" s="49"/>
      <c r="K42" s="11">
        <f>I39+J39</f>
        <v>57300</v>
      </c>
      <c r="L42" s="13">
        <f>K42+I38+J38</f>
        <v>68560</v>
      </c>
      <c r="M42" s="23"/>
      <c r="N42" s="12"/>
      <c r="O42" s="12"/>
      <c r="P42" s="12"/>
      <c r="Q42" s="13"/>
    </row>
    <row r="43" spans="1:17" s="6" customFormat="1" ht="41.25" thickBot="1" x14ac:dyDescent="0.2">
      <c r="A43" s="35" t="s">
        <v>41</v>
      </c>
      <c r="B43" s="45"/>
      <c r="C43" s="35"/>
      <c r="D43" s="36" t="s">
        <v>93</v>
      </c>
      <c r="E43" s="38" t="s">
        <v>94</v>
      </c>
      <c r="F43" s="39"/>
      <c r="G43" s="38"/>
      <c r="H43" s="35"/>
      <c r="I43" s="39"/>
      <c r="J43" s="55"/>
      <c r="K43" s="36" t="s">
        <v>93</v>
      </c>
      <c r="L43" s="38" t="s">
        <v>94</v>
      </c>
      <c r="M43" s="39"/>
      <c r="N43" s="37"/>
      <c r="O43" s="37"/>
      <c r="P43" s="37"/>
      <c r="Q43" s="38"/>
    </row>
    <row r="44" spans="1:17" x14ac:dyDescent="0.15">
      <c r="A44" s="32" t="s">
        <v>42</v>
      </c>
      <c r="B44" s="46"/>
      <c r="C44" s="32"/>
      <c r="D44" s="19"/>
      <c r="E44" s="20"/>
      <c r="F44" s="26">
        <v>1</v>
      </c>
      <c r="G44" s="20">
        <v>2</v>
      </c>
      <c r="H44" s="32"/>
      <c r="I44" s="26"/>
      <c r="J44" s="56"/>
      <c r="K44" s="19"/>
      <c r="L44" s="20"/>
      <c r="M44" s="26">
        <v>1</v>
      </c>
      <c r="N44" s="10">
        <v>2</v>
      </c>
      <c r="O44" s="10"/>
      <c r="P44" s="10"/>
      <c r="Q44" s="20">
        <v>3</v>
      </c>
    </row>
    <row r="45" spans="1:17" s="6" customFormat="1" ht="81" x14ac:dyDescent="0.15">
      <c r="A45" s="33" t="s">
        <v>43</v>
      </c>
      <c r="B45" s="44"/>
      <c r="C45" s="33"/>
      <c r="D45" s="21"/>
      <c r="E45" s="22"/>
      <c r="F45" s="28" t="s">
        <v>77</v>
      </c>
      <c r="G45" s="22"/>
      <c r="H45" s="33"/>
      <c r="I45" s="28"/>
      <c r="J45" s="54"/>
      <c r="K45" s="21"/>
      <c r="L45" s="22"/>
      <c r="M45" s="28"/>
      <c r="N45" s="5"/>
      <c r="O45" s="5"/>
      <c r="P45" s="5"/>
      <c r="Q45" s="22"/>
    </row>
    <row r="46" spans="1:17" x14ac:dyDescent="0.15">
      <c r="A46" s="30" t="s">
        <v>44</v>
      </c>
      <c r="B46" s="41"/>
      <c r="C46" s="30"/>
      <c r="D46" s="14"/>
      <c r="E46" s="15"/>
      <c r="F46" s="24" t="s">
        <v>78</v>
      </c>
      <c r="G46" s="15" t="s">
        <v>78</v>
      </c>
      <c r="H46" s="30"/>
      <c r="I46" s="24"/>
      <c r="J46" s="50"/>
      <c r="K46" s="14"/>
      <c r="L46" s="15"/>
      <c r="M46" s="24" t="s">
        <v>78</v>
      </c>
      <c r="N46" s="7" t="s">
        <v>78</v>
      </c>
      <c r="O46" s="7"/>
      <c r="P46" s="7"/>
      <c r="Q46" s="15" t="s">
        <v>78</v>
      </c>
    </row>
    <row r="47" spans="1:17" x14ac:dyDescent="0.15">
      <c r="A47" s="30" t="s">
        <v>45</v>
      </c>
      <c r="B47" s="41"/>
      <c r="C47" s="30"/>
      <c r="D47" s="14"/>
      <c r="E47" s="15"/>
      <c r="F47" s="24" t="s">
        <v>79</v>
      </c>
      <c r="G47" s="15" t="s">
        <v>83</v>
      </c>
      <c r="H47" s="30"/>
      <c r="I47" s="24"/>
      <c r="J47" s="50"/>
      <c r="K47" s="14"/>
      <c r="L47" s="15"/>
      <c r="M47" s="24">
        <v>4576</v>
      </c>
      <c r="N47" s="7">
        <v>4800</v>
      </c>
      <c r="O47" s="7"/>
      <c r="P47" s="7"/>
      <c r="Q47" s="15">
        <v>120</v>
      </c>
    </row>
    <row r="48" spans="1:17" s="6" customFormat="1" ht="54" x14ac:dyDescent="0.15">
      <c r="A48" s="33" t="s">
        <v>46</v>
      </c>
      <c r="B48" s="44"/>
      <c r="C48" s="33"/>
      <c r="D48" s="21"/>
      <c r="E48" s="22"/>
      <c r="F48" s="28" t="s">
        <v>80</v>
      </c>
      <c r="G48" s="22" t="s">
        <v>84</v>
      </c>
      <c r="H48" s="33"/>
      <c r="I48" s="28"/>
      <c r="J48" s="54"/>
      <c r="K48" s="21"/>
      <c r="L48" s="22"/>
      <c r="M48" s="28" t="s">
        <v>88</v>
      </c>
      <c r="N48" s="5" t="s">
        <v>89</v>
      </c>
      <c r="O48" s="5"/>
      <c r="P48" s="5"/>
      <c r="Q48" s="22" t="s">
        <v>91</v>
      </c>
    </row>
    <row r="49" spans="1:17" x14ac:dyDescent="0.15">
      <c r="A49" s="30" t="s">
        <v>47</v>
      </c>
      <c r="B49" s="41"/>
      <c r="C49" s="30"/>
      <c r="D49" s="14"/>
      <c r="E49" s="15"/>
      <c r="F49" s="24">
        <v>100</v>
      </c>
      <c r="G49" s="15">
        <v>15</v>
      </c>
      <c r="H49" s="30"/>
      <c r="I49" s="24"/>
      <c r="J49" s="50"/>
      <c r="K49" s="14"/>
      <c r="L49" s="15"/>
      <c r="M49" s="24">
        <v>2000</v>
      </c>
      <c r="N49" s="7">
        <v>100</v>
      </c>
      <c r="O49" s="7"/>
      <c r="P49" s="7"/>
      <c r="Q49" s="15">
        <v>50</v>
      </c>
    </row>
    <row r="50" spans="1:17" x14ac:dyDescent="0.15">
      <c r="A50" s="30" t="s">
        <v>48</v>
      </c>
      <c r="B50" s="41"/>
      <c r="C50" s="30"/>
      <c r="D50" s="14"/>
      <c r="E50" s="15"/>
      <c r="F50" s="24" t="s">
        <v>81</v>
      </c>
      <c r="G50" s="15" t="s">
        <v>81</v>
      </c>
      <c r="H50" s="30"/>
      <c r="I50" s="24"/>
      <c r="J50" s="50"/>
      <c r="K50" s="14"/>
      <c r="L50" s="15"/>
      <c r="M50" s="24" t="s">
        <v>81</v>
      </c>
      <c r="N50" s="7" t="s">
        <v>81</v>
      </c>
      <c r="O50" s="7"/>
      <c r="P50" s="7"/>
      <c r="Q50" s="15" t="s">
        <v>81</v>
      </c>
    </row>
    <row r="51" spans="1:17" x14ac:dyDescent="0.15">
      <c r="A51" s="30" t="s">
        <v>49</v>
      </c>
      <c r="B51" s="41"/>
      <c r="C51" s="30"/>
      <c r="D51" s="14"/>
      <c r="E51" s="15"/>
      <c r="F51" s="24">
        <v>5</v>
      </c>
      <c r="G51" s="15">
        <v>20</v>
      </c>
      <c r="H51" s="30"/>
      <c r="I51" s="24"/>
      <c r="J51" s="50"/>
      <c r="K51" s="14"/>
      <c r="L51" s="15"/>
      <c r="M51" s="24">
        <v>27</v>
      </c>
      <c r="N51" s="7">
        <v>15</v>
      </c>
      <c r="O51" s="7"/>
      <c r="P51" s="7"/>
      <c r="Q51" s="15">
        <v>10</v>
      </c>
    </row>
    <row r="52" spans="1:17" x14ac:dyDescent="0.15">
      <c r="A52" s="30" t="s">
        <v>50</v>
      </c>
      <c r="B52" s="41"/>
      <c r="C52" s="30"/>
      <c r="D52" s="14"/>
      <c r="E52" s="15"/>
      <c r="F52" s="24" t="s">
        <v>73</v>
      </c>
      <c r="G52" s="15" t="s">
        <v>73</v>
      </c>
      <c r="H52" s="30"/>
      <c r="I52" s="24"/>
      <c r="J52" s="50"/>
      <c r="K52" s="14"/>
      <c r="L52" s="15"/>
      <c r="M52" s="24" t="s">
        <v>73</v>
      </c>
      <c r="N52" s="7" t="s">
        <v>73</v>
      </c>
      <c r="O52" s="7"/>
      <c r="P52" s="7"/>
      <c r="Q52" s="15" t="s">
        <v>73</v>
      </c>
    </row>
    <row r="53" spans="1:17" x14ac:dyDescent="0.15">
      <c r="A53" s="30" t="s">
        <v>51</v>
      </c>
      <c r="B53" s="41"/>
      <c r="C53" s="30"/>
      <c r="D53" s="14"/>
      <c r="E53" s="15"/>
      <c r="F53" s="24"/>
      <c r="G53" s="15"/>
      <c r="H53" s="30"/>
      <c r="I53" s="24"/>
      <c r="J53" s="50"/>
      <c r="K53" s="14"/>
      <c r="L53" s="15"/>
      <c r="M53" s="24"/>
      <c r="N53" s="7"/>
      <c r="O53" s="7"/>
      <c r="P53" s="7"/>
      <c r="Q53" s="15"/>
    </row>
    <row r="54" spans="1:17" x14ac:dyDescent="0.15">
      <c r="A54" s="30" t="s">
        <v>52</v>
      </c>
      <c r="B54" s="41"/>
      <c r="C54" s="30"/>
      <c r="D54" s="14"/>
      <c r="E54" s="15"/>
      <c r="F54" s="24">
        <v>20</v>
      </c>
      <c r="G54" s="15">
        <v>20</v>
      </c>
      <c r="H54" s="30"/>
      <c r="I54" s="24"/>
      <c r="J54" s="50"/>
      <c r="K54" s="14"/>
      <c r="L54" s="15"/>
      <c r="M54" s="24">
        <v>20</v>
      </c>
      <c r="N54" s="7">
        <v>20</v>
      </c>
      <c r="O54" s="7"/>
      <c r="P54" s="7"/>
      <c r="Q54" s="15">
        <v>10</v>
      </c>
    </row>
    <row r="55" spans="1:17" x14ac:dyDescent="0.15">
      <c r="A55" s="30" t="s">
        <v>53</v>
      </c>
      <c r="B55" s="41"/>
      <c r="C55" s="30"/>
      <c r="D55" s="14"/>
      <c r="E55" s="15"/>
      <c r="F55" s="24" t="s">
        <v>74</v>
      </c>
      <c r="G55" s="15" t="s">
        <v>74</v>
      </c>
      <c r="H55" s="30"/>
      <c r="I55" s="24"/>
      <c r="J55" s="50"/>
      <c r="K55" s="14"/>
      <c r="L55" s="15"/>
      <c r="M55" s="24" t="s">
        <v>74</v>
      </c>
      <c r="N55" s="7" t="s">
        <v>74</v>
      </c>
      <c r="O55" s="7"/>
      <c r="P55" s="7"/>
      <c r="Q55" s="15" t="s">
        <v>92</v>
      </c>
    </row>
    <row r="56" spans="1:17" x14ac:dyDescent="0.15">
      <c r="A56" s="30" t="s">
        <v>54</v>
      </c>
      <c r="B56" s="41"/>
      <c r="C56" s="30"/>
      <c r="D56" s="14"/>
      <c r="E56" s="15"/>
      <c r="F56" s="24">
        <v>500</v>
      </c>
      <c r="G56" s="15">
        <v>300</v>
      </c>
      <c r="H56" s="30"/>
      <c r="I56" s="24"/>
      <c r="J56" s="50"/>
      <c r="K56" s="14"/>
      <c r="L56" s="15"/>
      <c r="M56" s="24">
        <v>54000</v>
      </c>
      <c r="N56" s="7"/>
      <c r="O56" s="7">
        <v>1500</v>
      </c>
      <c r="P56" s="7">
        <v>200</v>
      </c>
      <c r="Q56" s="15">
        <v>2000</v>
      </c>
    </row>
    <row r="57" spans="1:17" ht="14.25" thickBot="1" x14ac:dyDescent="0.2">
      <c r="A57" s="31" t="s">
        <v>55</v>
      </c>
      <c r="B57" s="42"/>
      <c r="C57" s="31"/>
      <c r="D57" s="16"/>
      <c r="E57" s="18"/>
      <c r="F57" s="25" t="s">
        <v>82</v>
      </c>
      <c r="G57" s="18" t="s">
        <v>82</v>
      </c>
      <c r="H57" s="31"/>
      <c r="I57" s="25"/>
      <c r="J57" s="51"/>
      <c r="K57" s="16"/>
      <c r="L57" s="18"/>
      <c r="M57" s="25" t="s">
        <v>82</v>
      </c>
      <c r="N57" s="17"/>
      <c r="O57" s="17" t="s">
        <v>82</v>
      </c>
      <c r="P57" s="17" t="s">
        <v>90</v>
      </c>
      <c r="Q57" s="18" t="s">
        <v>82</v>
      </c>
    </row>
  </sheetData>
  <conditionalFormatting sqref="A1:A1048576">
    <cfRule type="duplicateValues" dxfId="2" priority="3"/>
  </conditionalFormatting>
  <conditionalFormatting sqref="A1:Q57">
    <cfRule type="containsBlanks" dxfId="0" priority="4">
      <formula>LEN(TRIM(A1))=0</formula>
    </cfRule>
  </conditionalFormatting>
  <conditionalFormatting sqref="B11:Q57">
    <cfRule type="containsBlanks" dxfId="1" priority="1">
      <formula>LEN(TRIM(B11))=0</formula>
    </cfRule>
  </conditionalFormatting>
  <pageMargins left="0.25" right="0.25" top="0.75" bottom="0.75" header="0.3" footer="0.3"/>
  <pageSetup paperSize="9" scale="72" fitToWidth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vendor_invoices</vt:lpstr>
      <vt:lpstr>Transposed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Nobuyuki SAMBUICHI</dc:creator>
  <cp:lastModifiedBy>Nobuyuki SAMBUICHI</cp:lastModifiedBy>
  <cp:lastPrinted>2025-12-16T01:37:10Z</cp:lastPrinted>
  <dcterms:created xsi:type="dcterms:W3CDTF">2025-12-14T10:07:49Z</dcterms:created>
  <dcterms:modified xsi:type="dcterms:W3CDTF">2025-12-16T03:06:34Z</dcterms:modified>
</cp:coreProperties>
</file>